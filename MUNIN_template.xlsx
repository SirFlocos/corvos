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aog\OneDrive\Área de Trabalho\MUNIN - AUDUMBLA - Copia\"/>
    </mc:Choice>
  </mc:AlternateContent>
  <xr:revisionPtr revIDLastSave="0" documentId="13_ncr:1_{311FA715-77BF-4D96-A1F5-9D26A7FAE39B}" xr6:coauthVersionLast="47" xr6:coauthVersionMax="47" xr10:uidLastSave="{00000000-0000-0000-0000-000000000000}"/>
  <bookViews>
    <workbookView xWindow="-108" yWindow="-108" windowWidth="23256" windowHeight="13176" tabRatio="710" activeTab="3" xr2:uid="{00000000-000D-0000-FFFF-FFFF00000000}"/>
  </bookViews>
  <sheets>
    <sheet name="PAINEL" sheetId="1" r:id="rId1"/>
    <sheet name="CONFIGURACAO" sheetId="4" r:id="rId2"/>
    <sheet name="REVISÃO" sheetId="2" r:id="rId3"/>
    <sheet name="COMPARAÇÃO" sheetId="7" r:id="rId4"/>
    <sheet name="XML" sheetId="5" r:id="rId5"/>
    <sheet name="SPED" sheetId="6" r:id="rId6"/>
    <sheet name="DOCUMENTO" sheetId="3" r:id="rId7"/>
    <sheet name="LEIA-ME" sheetId="9" r:id="rId8"/>
  </sheets>
  <definedNames>
    <definedName name="DadosExternos_2" localSheetId="2" hidden="1">REVISÃO!$A$3:$K$12</definedName>
    <definedName name="DadosExternos_2" localSheetId="4" hidden="1">XML!$A$3:$O$108</definedName>
    <definedName name="DadosExternos_3" localSheetId="5" hidden="1">SPED!$A$3:$O$109</definedName>
    <definedName name="DadosExternos_4" localSheetId="3" hidden="1">COMPARAÇÃO!$A$4:$K$112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XML_Final_4b43b701-5ab2-41d9-8b7b-95a35ddaaa50" name="XML_Final" connection="Consulta - XML_Final"/>
          <x15:modelTable id="SPED_Final_f244a285-66df-4833-99d5-448cac43da3b" name="SPED_Final" connection="Consulta - SPED_Final"/>
          <x15:modelTable id="Comparacao_Final_c1d2212c-4e67-4ab1-b683-d7650696f3d0" name="Comparacao_Final" connection="Consulta - Comparacao_Final"/>
          <x15:modelTable id="Revisao_Final_d7557447-d61a-416b-a759-3baf8e282138" name="Revisao_Final" connection="Consulta - Revisao_Fina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C11" i="3"/>
  <c r="C10" i="3"/>
  <c r="C9" i="3"/>
  <c r="C8" i="3"/>
  <c r="C7" i="3"/>
  <c r="C5" i="4"/>
  <c r="C6" i="4" s="1"/>
  <c r="C21" i="1"/>
  <c r="C18" i="1"/>
  <c r="C15" i="1"/>
  <c r="F14" i="1"/>
  <c r="F10" i="1"/>
  <c r="C12" i="1"/>
  <c r="C9" i="1"/>
  <c r="C4" i="1"/>
  <c r="G4" i="1"/>
  <c r="F1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552367-CA19-4911-92CA-AA5C6786ACF7}" name="Consulta - Comparacao_Final" description="Conexão com a consulta 'Comparacao_Final' na pasta de trabalho." type="100" refreshedVersion="8" minRefreshableVersion="5">
    <extLst>
      <ext xmlns:x15="http://schemas.microsoft.com/office/spreadsheetml/2010/11/main" uri="{DE250136-89BD-433C-8126-D09CA5730AF9}">
        <x15:connection id="64a3de05-9325-493f-a546-4d006c24b897"/>
      </ext>
    </extLst>
  </connection>
  <connection id="2" xr16:uid="{DB7B2C38-C8E1-4B34-89BA-751D110D867A}" keepAlive="1" name="Consulta - fnGetConfig" description="Conexão com a consulta 'fnGetConfig' na pasta de trabalho." type="5" refreshedVersion="0" background="1">
    <dbPr connection="Provider=Microsoft.Mashup.OleDb.1;Data Source=$Workbook$;Location=fnGetConfig;Extended Properties=&quot;&quot;" command="SELECT * FROM [fnGetConfig]"/>
  </connection>
  <connection id="3" xr16:uid="{6240C5BD-00DF-4BAC-93C9-819A8DA31E53}" keepAlive="1" name="Consulta - fnGetParam" description="Conexão com a consulta 'fnGetParam' na pasta de trabalho." type="5" refreshedVersion="0" background="1">
    <dbPr connection="Provider=Microsoft.Mashup.OleDb.1;Data Source=$Workbook$;Location=fnGetParam;Extended Properties=&quot;&quot;" command="SELECT * FROM [fnGetParam]"/>
  </connection>
  <connection id="4" xr16:uid="{3001793C-0C91-4F48-A7FE-1C5725C6D5DB}" name="Consulta - Revisao_Final" description="Conexão com a consulta 'Revisao_Final' na pasta de trabalho." type="100" refreshedVersion="8" minRefreshableVersion="5">
    <extLst>
      <ext xmlns:x15="http://schemas.microsoft.com/office/spreadsheetml/2010/11/main" uri="{DE250136-89BD-433C-8126-D09CA5730AF9}">
        <x15:connection id="d19221f8-ffaa-465c-a0bf-010648cdcade"/>
      </ext>
    </extLst>
  </connection>
  <connection id="5" xr16:uid="{F1AF00F0-E3EF-4229-87BB-5304F14AA2CD}" name="Consulta - SPED_Final" description="Conexão com a consulta 'SPED_Final' na pasta de trabalho." type="100" refreshedVersion="8" minRefreshableVersion="5">
    <extLst>
      <ext xmlns:x15="http://schemas.microsoft.com/office/spreadsheetml/2010/11/main" uri="{DE250136-89BD-433C-8126-D09CA5730AF9}">
        <x15:connection id="b9dc1b36-f2d1-4d5a-b908-77890c4d536b">
          <x15:oledbPr connection="Provider=Microsoft.Mashup.OleDb.1;Data Source=$Workbook$;Location=SPED_Final;Extended Properties=&quot;&quot;">
            <x15:dbTables>
              <x15:dbTable name="SPED_Final"/>
            </x15:dbTables>
          </x15:oledbPr>
        </x15:connection>
      </ext>
    </extLst>
  </connection>
  <connection id="6" xr16:uid="{191C1FE8-B13C-48B8-B176-494E90268609}" name="Consulta - XML_Final" description="Conexão com a consulta 'XML_Final' na pasta de trabalho." type="100" refreshedVersion="8" minRefreshableVersion="5">
    <extLst>
      <ext xmlns:x15="http://schemas.microsoft.com/office/spreadsheetml/2010/11/main" uri="{DE250136-89BD-433C-8126-D09CA5730AF9}">
        <x15:connection id="d20c1f51-f1c4-4a3c-a469-9ae23d92ff5b">
          <x15:oledbPr connection="Provider=Microsoft.Mashup.OleDb.1;Data Source=$Workbook$;Location=XML_Final;Extended Properties=&quot;&quot;">
            <x15:dbTables>
              <x15:dbTable name="XML_Final"/>
            </x15:dbTables>
          </x15:oledbPr>
        </x15:connection>
      </ext>
    </extLst>
  </connection>
  <connection id="7" xr16:uid="{E7356BBB-8770-4E94-9001-02E850E363D8}" keepAlive="1" name="ModelConnection_DadosExternos_2" description="Modelo de Dados" type="5" refreshedVersion="8" minRefreshableVersion="5" saveData="1">
    <dbPr connection="Data Model Connection" command="XML_Final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EE51E56C-2FD9-4223-B954-C0E807FC383F}" keepAlive="1" name="ModelConnection_DadosExternos_21" description="Modelo de Dados" type="5" refreshedVersion="8" minRefreshableVersion="5" saveData="1">
    <dbPr connection="Data Model Connection" command="Revisao_Final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1DBA5D47-EAFF-4A6F-82E8-89D3F7AD2E05}" keepAlive="1" name="ModelConnection_DadosExternos_3" description="Modelo de Dados" type="5" refreshedVersion="8" minRefreshableVersion="5" saveData="1">
    <dbPr connection="Data Model Connection" command="SPED_Final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5637E4CD-7CFF-417B-911E-945224F5B853}" keepAlive="1" name="ModelConnection_DadosExternos_4" description="Modelo de Dados" type="5" refreshedVersion="8" minRefreshableVersion="5" saveData="1">
    <dbPr connection="Data Model Connection" command="Comparacao_Final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E3A5D4A3-F33D-48FC-BE92-181DEE29E35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<sst xmlns="http://schemas.openxmlformats.org/spreadsheetml/2006/main" count="135" uniqueCount="111">
  <si>
    <t>Empresa / CNPJ:</t>
  </si>
  <si>
    <t>Atualização:</t>
  </si>
  <si>
    <t>VISÃO GERAL DA AUDITORIA</t>
  </si>
  <si>
    <t>INTERPRETAÇÃO
OK = documento localizado e verificações passam.
DIVERGÊNCIA = documento localizado, mas há diferença relevante.
REVISAR = exceção ou ambiguidade que exige análise humana.
NÃO LOCALIZADO = XML encontrado, mas chave não identificada no SPED.
O MUNIN sinaliza necessidade de revisão; não declara, sozinho, que o SPED está errado.</t>
  </si>
  <si>
    <t>Fluxo: XML → Tratamento → SPED → Comparação → Revisão</t>
  </si>
  <si>
    <t>REVISÃO</t>
  </si>
  <si>
    <t>Fila operacional: documentos cuja comparação exige atenção humana.</t>
  </si>
  <si>
    <t>DOCUMENTO</t>
  </si>
  <si>
    <t>Consulta individual por chave de acesso. Estrutura preparada para a V1.1.</t>
  </si>
  <si>
    <t>Digite a CHAVE_NFE</t>
  </si>
  <si>
    <t>CAMPO</t>
  </si>
  <si>
    <t>VALOR</t>
  </si>
  <si>
    <t>FONTE</t>
  </si>
  <si>
    <t>COMPARAÇÃO</t>
  </si>
  <si>
    <t>Número NF</t>
  </si>
  <si>
    <t>11_XML</t>
  </si>
  <si>
    <t>Diferença</t>
  </si>
  <si>
    <t>13_COMPARAÇÃO</t>
  </si>
  <si>
    <t>Fornecedor</t>
  </si>
  <si>
    <t>Resultado</t>
  </si>
  <si>
    <t>CNPJ Emitente</t>
  </si>
  <si>
    <t>Motivo</t>
  </si>
  <si>
    <t>Valor XML</t>
  </si>
  <si>
    <t>Valor SPED</t>
  </si>
  <si>
    <t>12_SPED / agregação</t>
  </si>
  <si>
    <t>CONFIGURAÇÃO</t>
  </si>
  <si>
    <t>Parâmetros técnicos utilizados pelas consultas. Edite somente os campos da coluna VALOR.</t>
  </si>
  <si>
    <t>CHAVE</t>
  </si>
  <si>
    <t>CNPJ_AUDITADO</t>
  </si>
  <si>
    <t>PASTA_XML</t>
  </si>
  <si>
    <t>ARQUIVO_SPED</t>
  </si>
  <si>
    <t>TOLERANCIA_VALOR</t>
  </si>
  <si>
    <t>VERSAO_MUNIN</t>
  </si>
  <si>
    <t>0.1.0</t>
  </si>
  <si>
    <t>Integridade: o CNPJ deve conter 14 dígitos. A tolerância é um parâmetro operacional e deve ser validada antes do uso fiscal.</t>
  </si>
  <si>
    <t>XML</t>
  </si>
  <si>
    <t>Saída técnica da consulta XML_Final. Não preencher manualmente.</t>
  </si>
  <si>
    <t>SPED</t>
  </si>
  <si>
    <t>Saída técnica da consulta SPED_Final. Estrutura item a item.</t>
  </si>
  <si>
    <t>ChaveAcesso</t>
  </si>
  <si>
    <t>Núcleo técnico: uma linha por NF-e/documento, após agregação do SPED.</t>
  </si>
  <si>
    <t>Arquitetura: XML_Final (documento) + SPED_Final (item) → SPED_Agregado (documento) → COMPARAÇÃO. Não fazer junção direta com o SPED item a item.</t>
  </si>
  <si>
    <t>MUNIN — LEIA-ME</t>
  </si>
  <si>
    <t>Documento de referência rápida para utilização e evolução do projeto.</t>
  </si>
  <si>
    <t>O QUE O MUNIN FAZ?</t>
  </si>
  <si>
    <t>O MUNIN realiza uma verificação independente de consistência entre documentos fiscais recebidos em XML e informações identificadas no SPED disponibilizado pelo ERP.</t>
  </si>
  <si>
    <t>PRINCÍPIO</t>
  </si>
  <si>
    <t>O MUNIN NÃO substitui a conferência fiscal ou contábil. Quando encontra uma divergência, sinaliza o documento para revisão humana.</t>
  </si>
  <si>
    <t>FLUXO</t>
  </si>
  <si>
    <t>XML → Tratamento → SPED → Comparação → Revisão</t>
  </si>
  <si>
    <t>RESULTADOS</t>
  </si>
  <si>
    <t>OK = documento localizado e verificações passam.
DIVERGÊNCIA = documento localizado, mas um campo relevante difere.
NÃO LOCALIZADO = XML localizado, mas chave não encontrada no SPED.
REVISAR = exceção ou ambiguidade que exige análise humana.</t>
  </si>
  <si>
    <t>ESCOPO V1</t>
  </si>
  <si>
    <t>1. Contar XMLs recebidos.
2. Identificar documentos encontrados no SPED.
3. Identificar não localizados.
4. Comparar valores.
5. Formar fila de revisão.</t>
  </si>
  <si>
    <t>REGRA DE LINGUAGEM</t>
  </si>
  <si>
    <t>Usar “Divergência identificada — revisão necessária”. Evitar declarar “SPED errado” como conclusão automática.</t>
  </si>
  <si>
    <t>ARQUITETURA TÉCNICA</t>
  </si>
  <si>
    <t>tblConfig → XML_Arquivos → XML_Expandido → XML_Final
 tblConfig → SPED_Arquivo → SPED_Registros → SPED_Final → SPED_Agregado
 XML_Final + SPED_Agregado → COMPARACAO → REVISAO / RESUMO → PAINEL</t>
  </si>
  <si>
    <t>DOCUMENTOS XML:</t>
  </si>
  <si>
    <t>DOCUMENTOS SPED:</t>
  </si>
  <si>
    <t>CORRESPONDÊNCIAS OK:</t>
  </si>
  <si>
    <t>PARA REVISÃO:</t>
  </si>
  <si>
    <t>NÃO LOCALIZADOS:</t>
  </si>
  <si>
    <t>M.U.N.I.N. - Motor de Unificação, Navegação e Inspeção de Notas</t>
  </si>
  <si>
    <t xml:space="preserve">VALOR TOTAL NF </t>
  </si>
  <si>
    <t>VALOR SPED</t>
  </si>
  <si>
    <t>EXPOSIÇÃO FISCAL</t>
  </si>
  <si>
    <t>para uso de calculos</t>
  </si>
  <si>
    <t>AGRADECIMENTO ESPECIAL</t>
  </si>
  <si>
    <t>À minha noiva, Lih:
Obrigado por ser meu porto seguro e por todo o apoio incondicional durante a 
construção do M.U.N.I.N. e deste projeto. 
Nos dias mais desafiadores, quando o universo parecia tentar me diminuir, 
foi você quem esteve ao meu lado para me engrandecer, acreditar no meu potencial 
e me dar a força necessária para seguir em frente. 
Este projeto e cada conquista dele também pertencem a você. ❤️</t>
  </si>
  <si>
    <t>IND_OPER_XML</t>
  </si>
  <si>
    <t>CNPJ_EMIT_XML</t>
  </si>
  <si>
    <t>COD_SIT_XML</t>
  </si>
  <si>
    <t>SERIE_XML</t>
  </si>
  <si>
    <t>NUM_DOC_XML</t>
  </si>
  <si>
    <t>DT_EMISSAO_XML</t>
  </si>
  <si>
    <t>DT_ENT_SAI_XML</t>
  </si>
  <si>
    <t>VALOR_TOTAL_XML</t>
  </si>
  <si>
    <t>VALOR_PROD_XML</t>
  </si>
  <si>
    <t>IND_FRETE_XML</t>
  </si>
  <si>
    <t>VALOR_FRETE_XML</t>
  </si>
  <si>
    <t>VALOR_SEGURO_XML</t>
  </si>
  <si>
    <t>VALOR_DESPESAS_XML</t>
  </si>
  <si>
    <t>VALOR_DESCONTO_XML</t>
  </si>
  <si>
    <t>IND_OPER_SPED</t>
  </si>
  <si>
    <t>CNPJ_EMIT_SPED</t>
  </si>
  <si>
    <t>COD_SIT_SPED</t>
  </si>
  <si>
    <t>SERIE_SPED</t>
  </si>
  <si>
    <t>NUM_DOC_SPED</t>
  </si>
  <si>
    <t>DT_EMISSAO_SPED</t>
  </si>
  <si>
    <t>DT_ENT_SAI_SPED</t>
  </si>
  <si>
    <t>VALOR_TOTAL_SPED</t>
  </si>
  <si>
    <t>VALOR_PROD_SPED</t>
  </si>
  <si>
    <t>IND_FRETE_SPED</t>
  </si>
  <si>
    <t>VALOR_FRETE_SPED</t>
  </si>
  <si>
    <t>VALOR_SEGURO_SPED</t>
  </si>
  <si>
    <t>VALOR_DESPESAS_SPED</t>
  </si>
  <si>
    <t>VALOR_DESCONTO_SPED</t>
  </si>
  <si>
    <t>ChaveAcesso_Consolidada</t>
  </si>
  <si>
    <t>STATUS_AUDITORIA</t>
  </si>
  <si>
    <t>MOTIVO_REVISAO</t>
  </si>
  <si>
    <t>TIPO_OPERACAO</t>
  </si>
  <si>
    <t>DATA_INICIO</t>
  </si>
  <si>
    <t xml:space="preserve"> </t>
  </si>
  <si>
    <t>DATA_FIM</t>
  </si>
  <si>
    <t>NUM_DOC</t>
  </si>
  <si>
    <t>SERIE</t>
  </si>
  <si>
    <t>CNPJ_EMITENTE</t>
  </si>
  <si>
    <t>DT_EMISSAO</t>
  </si>
  <si>
    <t>DIFERENCA_TOTAL</t>
  </si>
  <si>
    <t>TIPO_OPER_SPED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</si>
</sst>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&quot;.&quot;000&quot;.&quot;000&quot;/&quot;0000&quot;-&quot;00"/>
    <numFmt numFmtId="165" formatCode="&quot;R$&quot;\ #,##0.00"/>
    <numFmt numFmtId="166" formatCode="0.0%"/>
  </numFmts>
  <fonts count="24">
    <font>
      <sz val="11"/>
      <name val="Carlito"/>
    </font>
    <font>
      <b/>
      <sz val="20"/>
      <color rgb="FFFFFFFF"/>
      <name val="Carlito"/>
    </font>
    <font>
      <i/>
      <sz val="10"/>
      <color rgb="FF50606F"/>
      <name val="Carlito"/>
    </font>
    <font>
      <b/>
      <sz val="11"/>
      <color rgb="FF17324D"/>
      <name val="Carlito"/>
    </font>
    <font>
      <sz val="10"/>
      <color rgb="FF50606F"/>
      <name val="Carlito"/>
    </font>
    <font>
      <b/>
      <sz val="10"/>
      <color rgb="FFFFFFFF"/>
      <name val="Carlito"/>
    </font>
    <font>
      <sz val="10"/>
      <color rgb="FF24313D"/>
      <name val="Carlito"/>
    </font>
    <font>
      <sz val="11"/>
      <color rgb="FF24313D"/>
      <name val="Carlito"/>
    </font>
    <font>
      <sz val="11"/>
      <name val="Carlito"/>
    </font>
    <font>
      <sz val="8"/>
      <name val="Carlito"/>
    </font>
    <font>
      <sz val="11"/>
      <name val="Segoe UI"/>
      <family val="2"/>
    </font>
    <font>
      <b/>
      <sz val="16"/>
      <color rgb="FF50606F"/>
      <name val="Segoe UI"/>
      <family val="2"/>
    </font>
    <font>
      <sz val="16"/>
      <name val="Segoe UI"/>
      <family val="2"/>
    </font>
    <font>
      <b/>
      <sz val="11"/>
      <color rgb="FF50606F"/>
      <name val="Segoe UI"/>
      <family val="2"/>
    </font>
    <font>
      <b/>
      <sz val="14"/>
      <color rgb="FF17324D"/>
      <name val="Segoe UI"/>
      <family val="2"/>
    </font>
    <font>
      <b/>
      <sz val="18"/>
      <name val="Segoe UI"/>
      <family val="2"/>
    </font>
    <font>
      <b/>
      <sz val="12"/>
      <color rgb="FFFFFFFF"/>
      <name val="Segoe UI"/>
      <family val="2"/>
    </font>
    <font>
      <b/>
      <sz val="16"/>
      <color rgb="FFFFFFFF"/>
      <name val="Segoe UI"/>
      <family val="2"/>
    </font>
    <font>
      <b/>
      <sz val="12"/>
      <color rgb="FF17324D"/>
      <name val="Segoe UI"/>
      <family val="2"/>
    </font>
    <font>
      <b/>
      <sz val="11"/>
      <color rgb="FF17324D"/>
      <name val="Segoe UI"/>
      <family val="2"/>
    </font>
    <font>
      <b/>
      <sz val="26"/>
      <name val="Segoe UI"/>
      <family val="2"/>
    </font>
    <font>
      <b/>
      <sz val="28"/>
      <color rgb="FF17324D"/>
      <name val="Segoe UI"/>
      <family val="2"/>
    </font>
    <font>
      <b/>
      <sz val="28"/>
      <name val="Segoe UI"/>
      <family val="2"/>
    </font>
    <font>
      <b/>
      <sz val="1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F3F3"/>
      </patternFill>
    </fill>
    <fill>
      <patternFill patternType="solid">
        <fgColor rgb="FFF4F7F9"/>
      </patternFill>
    </fill>
    <fill>
      <patternFill patternType="solid">
        <fgColor rgb="FFEAF2F8"/>
      </patternFill>
    </fill>
    <fill>
      <patternFill patternType="solid">
        <fgColor rgb="FFFFF7D6"/>
      </patternFill>
    </fill>
    <fill>
      <patternFill patternType="solid">
        <fgColor rgb="FF1E6F74"/>
      </patternFill>
    </fill>
    <fill>
      <patternFill patternType="solid">
        <fgColor rgb="FFFFFFFF"/>
      </patternFill>
    </fill>
    <fill>
      <patternFill patternType="solid">
        <fgColor rgb="FFD2E8C4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rgb="FFFFEAA5"/>
        <bgColor indexed="64"/>
      </patternFill>
    </fill>
    <fill>
      <patternFill patternType="solid">
        <fgColor rgb="FFE0E0E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2">
    <xf numFmtId="0" fontId="0" fillId="0" borderId="0" xfId="0"/>
    <xf numFmtId="0" fontId="5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4" fontId="6" fillId="0" borderId="2" xfId="0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22" fontId="10" fillId="0" borderId="0" xfId="0" applyNumberFormat="1" applyFont="1" applyAlignment="1">
      <alignment vertical="center"/>
    </xf>
    <xf numFmtId="0" fontId="10" fillId="0" borderId="0" xfId="0" applyFont="1"/>
    <xf numFmtId="0" fontId="10" fillId="0" borderId="5" xfId="0" applyFont="1" applyBorder="1" applyAlignment="1">
      <alignment vertical="center"/>
    </xf>
    <xf numFmtId="0" fontId="19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9" fontId="0" fillId="0" borderId="0" xfId="2" applyFont="1"/>
    <xf numFmtId="166" fontId="0" fillId="0" borderId="0" xfId="2" applyNumberFormat="1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4" fontId="0" fillId="0" borderId="0" xfId="0" applyNumberFormat="1"/>
    <xf numFmtId="0" fontId="2" fillId="3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23" fillId="12" borderId="1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left"/>
    </xf>
    <xf numFmtId="0" fontId="21" fillId="0" borderId="7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9" borderId="10" xfId="0" applyFont="1" applyFill="1" applyBorder="1" applyAlignment="1">
      <alignment horizontal="left" vertical="center"/>
    </xf>
    <xf numFmtId="0" fontId="19" fillId="9" borderId="11" xfId="0" applyFont="1" applyFill="1" applyBorder="1" applyAlignment="1">
      <alignment horizontal="left" vertical="center"/>
    </xf>
    <xf numFmtId="0" fontId="21" fillId="9" borderId="10" xfId="0" applyFont="1" applyFill="1" applyBorder="1" applyAlignment="1">
      <alignment horizontal="center" vertical="center"/>
    </xf>
    <xf numFmtId="0" fontId="21" fillId="9" borderId="11" xfId="0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left" vertical="center"/>
    </xf>
    <xf numFmtId="0" fontId="19" fillId="11" borderId="11" xfId="0" applyFont="1" applyFill="1" applyBorder="1" applyAlignment="1">
      <alignment horizontal="left" vertical="center"/>
    </xf>
    <xf numFmtId="0" fontId="21" fillId="11" borderId="10" xfId="0" applyFont="1" applyFill="1" applyBorder="1" applyAlignment="1">
      <alignment horizontal="center" vertical="center"/>
    </xf>
    <xf numFmtId="0" fontId="21" fillId="11" borderId="11" xfId="0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horizontal="left" vertical="center"/>
    </xf>
    <xf numFmtId="0" fontId="19" fillId="10" borderId="11" xfId="0" applyFont="1" applyFill="1" applyBorder="1" applyAlignment="1">
      <alignment horizontal="left" vertical="center"/>
    </xf>
    <xf numFmtId="0" fontId="21" fillId="10" borderId="10" xfId="0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 wrapText="1"/>
    </xf>
    <xf numFmtId="0" fontId="7" fillId="8" borderId="3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7" fillId="8" borderId="5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6" fillId="0" borderId="0" xfId="0" quotePrefix="1" applyNumberFormat="1" applyFont="1" applyAlignment="1">
      <alignment horizontal="right" vertical="center" wrapText="1"/>
    </xf>
    <xf numFmtId="0" fontId="6" fillId="0" borderId="0" xfId="0" applyNumberFormat="1" applyFont="1" applyAlignment="1">
      <alignment horizontal="right" vertical="center" wrapText="1"/>
    </xf>
    <xf numFmtId="4" fontId="6" fillId="0" borderId="0" xfId="0" applyNumberFormat="1" applyFont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49" fontId="0" fillId="0" borderId="0" xfId="0" applyNumberFormat="1" applyAlignment="1">
      <alignment horizontal="right"/>
    </xf>
  </cellXfs>
  <cellStyles count="3">
    <cellStyle name="Moeda" xfId="1" builtinId="4"/>
    <cellStyle name="Normal" xfId="0" builtinId="0"/>
    <cellStyle name="Porcentagem" xfId="2" builtinId="5"/>
  </cellStyles>
  <dxfs count="34">
    <dxf>
      <font>
        <b/>
        <color rgb="FFC62828"/>
      </font>
      <fill>
        <patternFill patternType="solid">
          <bgColor rgb="FFFDECEC"/>
        </patternFill>
      </fill>
    </dxf>
    <dxf>
      <font>
        <b/>
        <color rgb="FFB7791F"/>
      </font>
      <fill>
        <patternFill patternType="solid">
          <bgColor rgb="FFFFF7D6"/>
        </patternFill>
      </fill>
    </dxf>
    <dxf>
      <font>
        <b/>
        <color rgb="FFB7791F"/>
      </font>
      <fill>
        <patternFill patternType="solid">
          <bgColor rgb="FFFFF7D6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alignment horizontal="right" textRotation="0" indent="0" justifyLastLine="0" shrinkToFit="0" readingOrder="0"/>
    </dxf>
    <dxf>
      <numFmt numFmtId="19" formatCode="dd/mm/yyyy"/>
    </dxf>
    <dxf>
      <numFmt numFmtId="19" formatCode="dd/mm/yy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B365D"/>
      <color rgb="FFE0E0E0"/>
      <color rgb="FFFFEAA5"/>
      <color rgb="FFFFA0A0"/>
      <color rgb="FFD2E8C4"/>
      <color rgb="FFFFFF00"/>
      <color rgb="FFFFE6E6"/>
      <color rgb="FFFFF7D9"/>
      <color rgb="FFD9F7D9"/>
      <color rgb="FFFF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B365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C7-4341-B5CD-F00BC68F2A4A}"/>
              </c:ext>
            </c:extLst>
          </c:dPt>
          <c:dPt>
            <c:idx val="1"/>
            <c:bubble3D val="0"/>
            <c:spPr>
              <a:solidFill>
                <a:srgbClr val="E0E0E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C7-4341-B5CD-F00BC68F2A4A}"/>
              </c:ext>
            </c:extLst>
          </c:dPt>
          <c:val>
            <c:numRef>
              <c:f>CONFIGURACAO!$C$5:$C$6</c:f>
            </c:numRef>
          </c:val>
          <c:extLst>
            <c:ext xmlns:c16="http://schemas.microsoft.com/office/drawing/2014/chart" uri="{C3380CC4-5D6E-409C-BE32-E72D297353CC}">
              <c16:uniqueId val="{00000004-DFC7-4341-B5CD-F00BC68F2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239486</xdr:colOff>
      <xdr:row>18</xdr:row>
      <xdr:rowOff>163286</xdr:rowOff>
    </xdr:from>
    <xdr:to>
      <xdr:col>7</xdr:col>
      <xdr:colOff>1045030</xdr:colOff>
      <xdr:row>26</xdr:row>
      <xdr:rowOff>54429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8CEC2763-F686-4083-9A84-1D8D17C8D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0.40714</cdr:x>
      <cdr:y>0.35385</cdr:y>
    </cdr:from>
    <cdr:to>
      <cdr:x>0.70714</cdr:x>
      <cdr:y>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15215DB-F646-4E6D-2FA5-BD05D15ED8CA}"/>
            </a:ext>
          </a:extLst>
        </cdr:cNvPr>
        <cdr:cNvSpPr txBox="1"/>
      </cdr:nvSpPr>
      <cdr:spPr>
        <a:xfrm xmlns:a="http://schemas.openxmlformats.org/drawingml/2006/main">
          <a:off x="1240972" y="67491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0.01429</cdr:x>
      <cdr:y>0</cdr:y>
    </cdr:from>
    <cdr:to>
      <cdr:x>1</cdr:x>
      <cdr:y>0.99231</cdr:y>
    </cdr:to>
    <cdr:sp macro="" textlink="CONFIGURACAO!$C$5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A55D3923-B108-1C6C-634B-DD8F9501CF38}"/>
            </a:ext>
          </a:extLst>
        </cdr:cNvPr>
        <cdr:cNvSpPr txBox="1"/>
      </cdr:nvSpPr>
      <cdr:spPr>
        <a:xfrm xmlns:a="http://schemas.openxmlformats.org/drawingml/2006/main">
          <a:off x="50712" y="0"/>
          <a:ext cx="3498032" cy="2009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E551CEBC-E624-45DC-B0DB-837F1717DC86}" type="TxLink">
            <a:rPr lang="en-US" sz="3200" b="0" i="0" u="none" strike="noStrike" kern="1200">
              <a:solidFill>
                <a:srgbClr val="000000"/>
              </a:solidFill>
              <a:latin typeface="Carlito"/>
            </a:rPr>
            <a:pPr algn="ctr"/>
            <a:t>#DIV/0!</a:t>
          </a:fld>
          <a:endParaRPr lang="pt-BR" sz="8000" b="1" kern="12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8" xr16:uid="{22E68F00-6818-4ACF-8A40-3ACA05E0FE2E}" autoFormatId="16" applyNumberFormats="0" applyBorderFormats="0" applyFontFormats="0" applyPatternFormats="0" applyAlignmentFormats="0" applyWidthHeightFormats="0">
  <queryTableRefresh nextId="93">
    <queryTableFields count="11">
      <queryTableField id="10" name="STATUS_AUDITORIA" tableColumnId="2"/>
      <queryTableField id="11" name="MOTIVO_REVISAO" tableColumnId="3"/>
      <queryTableField id="91" name="TIPO_OPER_SPED" tableColumnId="4"/>
      <queryTableField id="9" name="ChaveAcesso_Consolidada" tableColumnId="1"/>
      <queryTableField id="80" name="NUM_DOC" tableColumnId="36"/>
      <queryTableField id="81" name="SERIE" tableColumnId="37"/>
      <queryTableField id="82" name="CNPJ_EMITENTE" tableColumnId="38"/>
      <queryTableField id="83" name="DT_EMISSAO" tableColumnId="39"/>
      <queryTableField id="20" name="VALOR_TOTAL_SPED" tableColumnId="12"/>
      <queryTableField id="21" name="VALOR_TOTAL_XML" tableColumnId="13"/>
      <queryTableField id="84" name="DIFERENCA_TOTAL" tableColumnId="40"/>
    </queryTableFields>
  </queryTableRefresh>
  <extLst>
    <ext xmlns:x15="http://schemas.microsoft.com/office/spreadsheetml/2010/11/main" uri="{883FBD77-0823-4a55-B5E3-86C4891E6966}">
      <x15:queryTable sourceDataName="Consulta - Revisao_Final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connectionId="10" xr16:uid="{1A8B068F-58C0-477B-81DC-BEF07131019D}" autoFormatId="16" applyNumberFormats="0" applyBorderFormats="0" applyFontFormats="0" applyPatternFormats="0" applyAlignmentFormats="0" applyWidthHeightFormats="0">
  <queryTableRefresh nextId="78">
    <queryTableFields count="11">
      <queryTableField id="72" name="STATUS_AUDITORIA" tableColumnId="39"/>
      <queryTableField id="73" name="MOTIVO_REVISAO" tableColumnId="40"/>
      <queryTableField id="76" name="TIPO_OPER_SPED" tableColumnId="1"/>
      <queryTableField id="54" name="ChaveAcesso_Consolidada" tableColumnId="32"/>
      <queryTableField id="59" name="NUM_DOC" tableColumnId="34"/>
      <queryTableField id="60" name="SERIE" tableColumnId="35"/>
      <queryTableField id="61" name="CNPJ_EMITENTE" tableColumnId="36"/>
      <queryTableField id="62" name="DT_EMISSAO" tableColumnId="37"/>
      <queryTableField id="31" name="VALOR_TOTAL_SPED" tableColumnId="9"/>
      <queryTableField id="46" name="VALOR_TOTAL_XML" tableColumnId="24"/>
      <queryTableField id="63" name="DIFERENCA_TOTAL" tableColumnId="38"/>
    </queryTableFields>
  </queryTableRefresh>
  <extLst>
    <ext xmlns:x15="http://schemas.microsoft.com/office/spreadsheetml/2010/11/main" uri="{883FBD77-0823-4a55-B5E3-86C4891E6966}">
      <x15:queryTable sourceDataName="Consulta - Comparacao_Final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7" xr16:uid="{604ADBF2-18EB-4B83-89F3-A4DA7FC54B6F}" autoFormatId="16" applyNumberFormats="0" applyBorderFormats="0" applyFontFormats="0" applyPatternFormats="0" applyAlignmentFormats="0" applyWidthHeightFormats="0">
  <queryTableRefresh nextId="46">
    <queryTableFields count="15">
      <queryTableField id="16" name="IND_OPER_XML" tableColumnId="1"/>
      <queryTableField id="17" name="CNPJ_EMIT_XML" tableColumnId="2"/>
      <queryTableField id="18" name="COD_SIT_XML" tableColumnId="3"/>
      <queryTableField id="19" name="SERIE_XML" tableColumnId="4"/>
      <queryTableField id="20" name="NUM_DOC_XML" tableColumnId="5"/>
      <queryTableField id="21" name="ChaveAcesso" tableColumnId="6"/>
      <queryTableField id="22" name="DT_EMISSAO_XML" tableColumnId="7"/>
      <queryTableField id="23" name="DT_ENT_SAI_XML" tableColumnId="8"/>
      <queryTableField id="24" name="VALOR_TOTAL_XML" tableColumnId="9"/>
      <queryTableField id="25" name="VALOR_PROD_XML" tableColumnId="10"/>
      <queryTableField id="26" name="IND_FRETE_XML" tableColumnId="11"/>
      <queryTableField id="27" name="VALOR_FRETE_XML" tableColumnId="12"/>
      <queryTableField id="28" name="VALOR_SEGURO_XML" tableColumnId="13"/>
      <queryTableField id="29" name="VALOR_DESPESAS_XML" tableColumnId="14"/>
      <queryTableField id="30" name="VALOR_DESCONTO_XML" tableColumnId="16"/>
    </queryTableFields>
  </queryTableRefresh>
  <extLst>
    <ext xmlns:x15="http://schemas.microsoft.com/office/spreadsheetml/2010/11/main" uri="{883FBD77-0823-4a55-B5E3-86C4891E6966}">
      <x15:queryTable sourceDataName="Consulta - XML_Final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connectionId="9" xr16:uid="{AB415FD6-0D06-409E-B5C8-0663B04A1356}" autoFormatId="16" applyNumberFormats="0" applyBorderFormats="0" applyFontFormats="0" applyPatternFormats="0" applyAlignmentFormats="0" applyWidthHeightFormats="0">
  <queryTableRefresh nextId="29">
    <queryTableFields count="15">
      <queryTableField id="9" name="IND_OPER_SPED" tableColumnId="2"/>
      <queryTableField id="10" name="CNPJ_EMIT_SPED" tableColumnId="3"/>
      <queryTableField id="11" name="COD_SIT_SPED" tableColumnId="4"/>
      <queryTableField id="12" name="SERIE_SPED" tableColumnId="5"/>
      <queryTableField id="13" name="NUM_DOC_SPED" tableColumnId="6"/>
      <queryTableField id="1" name="ChaveAcesso" tableColumnId="1"/>
      <queryTableField id="14" name="DT_EMISSAO_SPED" tableColumnId="7"/>
      <queryTableField id="15" name="DT_ENT_SAI_SPED" tableColumnId="8"/>
      <queryTableField id="16" name="VALOR_TOTAL_SPED" tableColumnId="9"/>
      <queryTableField id="17" name="VALOR_PROD_SPED" tableColumnId="10"/>
      <queryTableField id="18" name="IND_FRETE_SPED" tableColumnId="11"/>
      <queryTableField id="19" name="VALOR_FRETE_SPED" tableColumnId="12"/>
      <queryTableField id="20" name="VALOR_SEGURO_SPED" tableColumnId="13"/>
      <queryTableField id="21" name="VALOR_DESPESAS_SPED" tableColumnId="14"/>
      <queryTableField id="22" name="VALOR_DESCONTO_SPED" tableColumnId="15"/>
    </queryTableFields>
  </queryTableRefresh>
  <extLst>
    <ext xmlns:x15="http://schemas.microsoft.com/office/spreadsheetml/2010/11/main" uri="{883FBD77-0823-4a55-B5E3-86C4891E6966}">
      <x15:queryTable sourceDataName="Consulta - SPED_Final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nfig" displayName="tblConfig" ref="A4:B12" totalsRowShown="0">
  <tableColumns count="2">
    <tableColumn id="1" xr3:uid="{00000000-0010-0000-0100-000001000000}" name="CHAVE"/>
    <tableColumn id="2" xr3:uid="{00000000-0010-0000-0100-000002000000}" name="VALOR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0365696-ADFF-4EDA-867E-D92FBD66FED2}" name="tblRevisao" displayName="tblRevisao" ref="A3:K12" tableType="queryTable" totalsRowShown="0">
  <autoFilter ref="A3:K12" xr:uid="{40365696-ADFF-4EDA-867E-D92FBD66FED2}"/>
  <tableColumns count="11">
    <tableColumn id="2" xr3:uid="{7F7E0008-8E4F-48C1-A0B0-A9230E16B9F3}" uniqueName="2" name="STATUS_AUDITORIA" queryTableFieldId="10" dataDxfId="33"/>
    <tableColumn id="3" xr3:uid="{85CB8A67-ED3C-4A74-A906-471327561CF0}" uniqueName="3" name="MOTIVO_REVISAO" queryTableFieldId="11" dataDxfId="32"/>
    <tableColumn id="4" xr3:uid="{B36D3817-4F82-4E37-9147-BC010E1CAEA3}" uniqueName="4" name="TIPO_OPER_SPED" queryTableFieldId="91" dataDxfId="31"/>
    <tableColumn id="1" xr3:uid="{664D3AB6-29F5-4590-8446-397013CE6378}" uniqueName="1" name="ChaveAcesso_Consolidada" queryTableFieldId="9"/>
    <tableColumn id="36" xr3:uid="{EF1CA740-D289-469F-907B-2922A0449277}" uniqueName="36" name="NUM_DOC" queryTableFieldId="80" dataDxfId="30"/>
    <tableColumn id="37" xr3:uid="{C227BA98-AD9D-43D3-9D9A-51FB65CBCAFD}" uniqueName="37" name="SERIE" queryTableFieldId="81" dataDxfId="29"/>
    <tableColumn id="38" xr3:uid="{8C5A822D-6E0B-4030-901E-4B72F3C2E562}" uniqueName="38" name="CNPJ_EMITENTE" queryTableFieldId="82" dataDxfId="28"/>
    <tableColumn id="39" xr3:uid="{9578A729-2302-48FC-9672-5CB9227B0B3F}" uniqueName="39" name="DT_EMISSAO" queryTableFieldId="83" dataDxfId="27"/>
    <tableColumn id="12" xr3:uid="{86C7CB9E-D88D-4966-A64C-53FEE8D1556F}" uniqueName="12" name="VALOR_TOTAL_SPED" queryTableFieldId="20" dataDxfId="26"/>
    <tableColumn id="13" xr3:uid="{7F0D2E6E-CA2B-499E-93E2-0EE0C51D1E9F}" uniqueName="13" name="VALOR_TOTAL_XML" queryTableFieldId="21" dataDxfId="25"/>
    <tableColumn id="40" xr3:uid="{729C28E5-1488-40C3-A99B-C78749EBC5A7}" uniqueName="40" name="DIFERENCA_TOTAL" queryTableFieldId="8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F1F08C-84A1-4C4A-8F5E-B7A532011D3C}" name="Comparacao_Final" displayName="Comparacao_Final" ref="A4:K112" tableType="queryTable" totalsRowShown="0">
  <autoFilter ref="A4:K112" xr:uid="{E6F1F08C-84A1-4C4A-8F5E-B7A532011D3C}"/>
  <tableColumns count="11">
    <tableColumn id="39" xr3:uid="{2C5CFA69-6745-46DD-9AEF-E128B9597642}" uniqueName="39" name="STATUS_AUDITORIA" queryTableFieldId="72" dataDxfId="23"/>
    <tableColumn id="40" xr3:uid="{6F49E4CC-2EC8-4FDB-88CA-268B10065963}" uniqueName="40" name="MOTIVO_REVISAO" queryTableFieldId="73" dataDxfId="22"/>
    <tableColumn id="1" xr3:uid="{5B39F109-35D1-4A0B-95A3-0D417F90DF41}" uniqueName="1" name="TIPO_OPER_SPED" queryTableFieldId="76" dataDxfId="21"/>
    <tableColumn id="32" xr3:uid="{F0D55875-40CC-4884-BE3F-879052342A81}" uniqueName="32" name="ChaveAcesso_Consolidada" queryTableFieldId="54"/>
    <tableColumn id="34" xr3:uid="{30AB72C4-D3C1-49CB-92E5-6DE8FD17A14F}" uniqueName="34" name="NUM_DOC" queryTableFieldId="59" dataDxfId="20"/>
    <tableColumn id="35" xr3:uid="{AAE73CB0-CA6C-4144-9147-A01188EF7EE3}" uniqueName="35" name="SERIE" queryTableFieldId="60" dataDxfId="19"/>
    <tableColumn id="36" xr3:uid="{55EBAA59-4607-4769-9133-75BE24FC8C1C}" uniqueName="36" name="CNPJ_EMITENTE" queryTableFieldId="61" dataDxfId="18"/>
    <tableColumn id="37" xr3:uid="{DC9E717C-9A9A-4917-988A-D02A1500F210}" uniqueName="37" name="DT_EMISSAO" queryTableFieldId="62" dataDxfId="17"/>
    <tableColumn id="9" xr3:uid="{D23BAD67-BB38-46DF-A3B3-785F32D21859}" uniqueName="9" name="VALOR_TOTAL_SPED" queryTableFieldId="31" dataDxfId="16"/>
    <tableColumn id="24" xr3:uid="{31B9EDAD-DC6A-4B16-8001-FD5139B839E5}" uniqueName="24" name="VALOR_TOTAL_XML" queryTableFieldId="46" dataDxfId="15"/>
    <tableColumn id="38" xr3:uid="{E14BB6A9-AE20-44A1-B789-E07F94355F4D}" uniqueName="38" name="DIFERENCA_TOTAL" queryTableFieldId="63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675903-D11F-4486-AADF-3D6313423C27}" name="tblXML" displayName="tblXML" ref="A3:O108" tableType="queryTable" totalsRowShown="0" headerRowDxfId="13" dataDxfId="12">
  <autoFilter ref="A3:O108" xr:uid="{65675903-D11F-4486-AADF-3D6313423C27}"/>
  <tableColumns count="15">
    <tableColumn id="1" xr3:uid="{8A231AD8-4162-4233-BE22-07D6D619E81F}" uniqueName="1" name="IND_OPER_XML" queryTableFieldId="16"/>
    <tableColumn id="2" xr3:uid="{58EB250D-41C9-400D-A228-C4F64929BFBB}" uniqueName="2" name="CNPJ_EMIT_XML" queryTableFieldId="17"/>
    <tableColumn id="3" xr3:uid="{51194347-9908-45AD-802B-BD22449BDD35}" uniqueName="3" name="COD_SIT_XML" queryTableFieldId="18"/>
    <tableColumn id="4" xr3:uid="{41280927-726A-4037-BCB0-FABE553340B8}" uniqueName="4" name="SERIE_XML" queryTableFieldId="19"/>
    <tableColumn id="5" xr3:uid="{4D7B8EFA-146D-4452-89BD-8BC04B8C0877}" uniqueName="5" name="NUM_DOC_XML" queryTableFieldId="20"/>
    <tableColumn id="6" xr3:uid="{3C327D03-BA73-4AE2-BE27-2349634C5F93}" uniqueName="6" name="ChaveAcesso" queryTableFieldId="21"/>
    <tableColumn id="7" xr3:uid="{2D1B4744-533C-4CDD-9DD0-0232912DC761}" uniqueName="7" name="DT_EMISSAO_XML" queryTableFieldId="22" dataDxfId="11"/>
    <tableColumn id="8" xr3:uid="{66C06863-BBC5-443F-9566-515AE9B83122}" uniqueName="8" name="DT_ENT_SAI_XML" queryTableFieldId="23" dataDxfId="10"/>
    <tableColumn id="9" xr3:uid="{CAF6D746-C377-43AC-B07F-5328FF9B0888}" uniqueName="9" name="VALOR_TOTAL_XML" queryTableFieldId="24"/>
    <tableColumn id="10" xr3:uid="{3A5134A8-EE6E-4B0B-9358-B81DAB485857}" uniqueName="10" name="VALOR_PROD_XML" queryTableFieldId="25"/>
    <tableColumn id="11" xr3:uid="{1D490574-22E5-4B59-A148-517545101387}" uniqueName="11" name="IND_FRETE_XML" queryTableFieldId="26"/>
    <tableColumn id="12" xr3:uid="{A30EFB76-6134-44EC-8944-7BD08184E3DF}" uniqueName="12" name="VALOR_FRETE_XML" queryTableFieldId="27"/>
    <tableColumn id="13" xr3:uid="{919DDE0A-E761-4D88-9855-EEBFFC969AEF}" uniqueName="13" name="VALOR_SEGURO_XML" queryTableFieldId="28"/>
    <tableColumn id="14" xr3:uid="{7B1048C8-32E2-44DE-B380-6660E30263F8}" uniqueName="14" name="VALOR_DESPESAS_XML" queryTableFieldId="29"/>
    <tableColumn id="16" xr3:uid="{F649BFE2-FB9B-4A52-8D4E-C73D59D33F4F}" uniqueName="16" name="VALOR_DESCONTO_XML" queryTableField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69538F3-9CFB-423C-B122-EAD84EEB2E0C}" name="tblSPED" displayName="tblSPED" ref="A3:O109" tableType="queryTable" totalsRowShown="0" headerRowDxfId="9" dataDxfId="8">
  <autoFilter ref="A3:O109" xr:uid="{669538F3-9CFB-423C-B122-EAD84EEB2E0C}"/>
  <tableColumns count="15">
    <tableColumn id="2" xr3:uid="{995E2111-0968-47AB-9449-EDE0220845C5}" uniqueName="2" name="IND_OPER_SPED" queryTableFieldId="9"/>
    <tableColumn id="3" xr3:uid="{CDF23A16-955C-4FBE-94FD-C798778877CE}" uniqueName="3" name="CNPJ_EMIT_SPED" queryTableFieldId="10"/>
    <tableColumn id="4" xr3:uid="{E3AACFC6-CEBF-442E-BFF9-B67E57D1C81F}" uniqueName="4" name="COD_SIT_SPED" queryTableFieldId="11"/>
    <tableColumn id="5" xr3:uid="{2A9EADE5-D183-4989-A383-7DFF80A4C341}" uniqueName="5" name="SERIE_SPED" queryTableFieldId="12"/>
    <tableColumn id="6" xr3:uid="{5B2E3211-CDAA-4EC2-A28A-1126C67599A0}" uniqueName="6" name="NUM_DOC_SPED" queryTableFieldId="13"/>
    <tableColumn id="1" xr3:uid="{76958788-BB41-48EE-BF9C-82016EA1B1D9}" uniqueName="1" name="ChaveAcesso" queryTableFieldId="1" dataDxfId="7"/>
    <tableColumn id="7" xr3:uid="{F619D01E-6567-409E-8C47-D0CD478445FB}" uniqueName="7" name="DT_EMISSAO_SPED" queryTableFieldId="14" dataDxfId="6"/>
    <tableColumn id="8" xr3:uid="{A5AEB8DF-A207-49FB-A6D8-7897587D619A}" uniqueName="8" name="DT_ENT_SAI_SPED" queryTableFieldId="15" dataDxfId="5"/>
    <tableColumn id="9" xr3:uid="{1B9D56B3-767A-417D-97F4-13ACC653C314}" uniqueName="9" name="VALOR_TOTAL_SPED" queryTableFieldId="16"/>
    <tableColumn id="10" xr3:uid="{E332278C-A70E-47E7-8B4B-D1FB75582212}" uniqueName="10" name="VALOR_PROD_SPED" queryTableFieldId="17"/>
    <tableColumn id="11" xr3:uid="{B5D39BBE-EDE7-4308-BA55-89B5A3A9B094}" uniqueName="11" name="IND_FRETE_SPED" queryTableFieldId="18"/>
    <tableColumn id="12" xr3:uid="{2DE314C3-E725-4715-A616-308BDE9DA36A}" uniqueName="12" name="VALOR_FRETE_SPED" queryTableFieldId="19"/>
    <tableColumn id="13" xr3:uid="{F3A797EA-ED7C-4F32-8B2B-FCCD360AF7CE}" uniqueName="13" name="VALOR_SEGURO_SPED" queryTableFieldId="20"/>
    <tableColumn id="14" xr3:uid="{20A1E517-A9F6-4599-B18A-1AA3BD564C2E}" uniqueName="14" name="VALOR_DESPESAS_SPED" queryTableFieldId="21"/>
    <tableColumn id="15" xr3:uid="{6711DDDE-ECA6-4AC8-8E83-2037EE2376AE}" uniqueName="15" name="VALOR_DESCONTO_SPED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9"/>
  <sheetViews>
    <sheetView showGridLines="0" zoomScale="55" zoomScaleNormal="55" workbookViewId="0">
      <selection activeCell="M21" sqref="M21"/>
    </sheetView>
  </sheetViews>
  <sheetFormatPr defaultRowHeight="13.8"/>
  <cols>
    <col min="1" max="1" width="3" customWidth="1"/>
    <col min="2" max="2" width="33.19921875" bestFit="1" customWidth="1"/>
    <col min="3" max="3" width="45.296875" customWidth="1"/>
    <col min="4" max="4" width="3" customWidth="1"/>
    <col min="5" max="8" width="18" customWidth="1"/>
  </cols>
  <sheetData>
    <row r="1" spans="1:26" ht="27.15" customHeight="1">
      <c r="A1" s="57" t="s">
        <v>63</v>
      </c>
      <c r="B1" s="57"/>
      <c r="C1" s="57"/>
      <c r="D1" s="57"/>
      <c r="E1" s="57"/>
      <c r="F1" s="57"/>
      <c r="G1" s="57"/>
      <c r="H1" s="5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35" customHeight="1">
      <c r="A2" s="57"/>
      <c r="B2" s="57"/>
      <c r="C2" s="57"/>
      <c r="D2" s="57"/>
      <c r="E2" s="57"/>
      <c r="F2" s="57"/>
      <c r="G2" s="57"/>
      <c r="H2" s="5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8">
      <c r="A3" s="9"/>
      <c r="B3" s="9"/>
      <c r="C3" s="9"/>
      <c r="D3" s="9"/>
      <c r="E3" s="9"/>
      <c r="F3" s="9"/>
      <c r="G3" s="9"/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6">
      <c r="A4" s="9"/>
      <c r="B4" s="10" t="s">
        <v>0</v>
      </c>
      <c r="C4" s="17">
        <f>IFERROR(IF(LEN(INDEX(tblConfig[VALOR],MATCH("CNPJ_AUDITADO",tblConfig[CHAVE],0)))=14, LEFT(INDEX(tblConfig[VALOR],MATCH("CNPJ_AUDITADO",tblConfig[CHAVE],0)),2)&amp;"."&amp;MID(INDEX(tblConfig[VALOR],MATCH("CNPJ_AUDITADO",tblConfig[CHAVE],0)),3,3)&amp;"."&amp;MID(INDEX(tblConfig[VALOR],MATCH("CNPJ_AUDITADO",tblConfig[CHAVE],0)),6,3)&amp;"/"&amp;MID(INDEX(tblConfig[VALOR],MATCH("CNPJ_AUDITADO",tblConfig[CHAVE],0)),9,4)&amp;"-"&amp;RIGHT(INDEX(tblConfig[VALOR],MATCH("CNPJ_AUDITADO",tblConfig[CHAVE],0)),2), INDEX(tblConfig[VALOR],MATCH("CNPJ_AUDITADO",tblConfig[CHAVE],0))), "")</f>
        <v>0</v>
      </c>
      <c r="D4" s="9"/>
      <c r="E4" s="9"/>
      <c r="F4" s="11" t="s">
        <v>1</v>
      </c>
      <c r="G4" s="12">
        <f ca="1">NOW()</f>
        <v>46296.541090162034</v>
      </c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.6">
      <c r="A5" s="9"/>
      <c r="B5" s="10"/>
      <c r="C5" s="17"/>
      <c r="D5" s="9"/>
      <c r="E5" s="9"/>
      <c r="F5" s="11"/>
      <c r="G5" s="12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8">
      <c r="A6" s="9"/>
      <c r="B6" s="13"/>
      <c r="C6" s="13"/>
      <c r="D6" s="9"/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9.2">
      <c r="A7" s="9"/>
      <c r="B7" s="33" t="s">
        <v>2</v>
      </c>
      <c r="C7" s="33"/>
      <c r="D7" s="9"/>
      <c r="E7" s="9"/>
      <c r="F7" s="9"/>
      <c r="G7" s="9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8">
      <c r="A8" s="9"/>
      <c r="B8" s="13"/>
      <c r="C8" s="13"/>
      <c r="D8" s="9"/>
      <c r="E8" s="13"/>
      <c r="F8" s="13"/>
      <c r="G8" s="13"/>
      <c r="H8" s="1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7.15" customHeight="1">
      <c r="A9" s="9"/>
      <c r="B9" s="36" t="s">
        <v>58</v>
      </c>
      <c r="C9" s="34">
        <f>COUNTA(tblXML[ChaveAcesso])</f>
        <v>0</v>
      </c>
      <c r="D9" s="14"/>
      <c r="E9" s="13"/>
      <c r="F9" s="55" t="s">
        <v>64</v>
      </c>
      <c r="G9" s="55"/>
      <c r="H9" s="5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.15" customHeight="1">
      <c r="A10" s="9"/>
      <c r="B10" s="37"/>
      <c r="C10" s="35"/>
      <c r="D10" s="14"/>
      <c r="E10" s="13"/>
      <c r="F10" s="54">
        <f>SUM(tblXML[VALOR_TOTAL_XML])</f>
        <v>0</v>
      </c>
      <c r="G10" s="54"/>
      <c r="H10" s="5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7.15" customHeight="1">
      <c r="A11" s="9"/>
      <c r="B11" s="15"/>
      <c r="C11" s="16"/>
      <c r="D11" s="14"/>
      <c r="E11" s="13"/>
      <c r="F11" s="54"/>
      <c r="G11" s="54"/>
      <c r="H11" s="5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7.15" customHeight="1">
      <c r="A12" s="9"/>
      <c r="B12" s="40" t="s">
        <v>59</v>
      </c>
      <c r="C12" s="38">
        <f>COUNTA(tblSPED[ChaveAcesso])</f>
        <v>0</v>
      </c>
      <c r="D12" s="14"/>
      <c r="E12" s="13"/>
      <c r="F12" s="13"/>
      <c r="G12" s="13"/>
      <c r="H12" s="1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7.15" customHeight="1">
      <c r="A13" s="9"/>
      <c r="B13" s="41"/>
      <c r="C13" s="39"/>
      <c r="D13" s="14"/>
      <c r="E13" s="13"/>
      <c r="F13" s="55" t="s">
        <v>65</v>
      </c>
      <c r="G13" s="55"/>
      <c r="H13" s="5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7.15" customHeight="1">
      <c r="A14" s="9"/>
      <c r="B14" s="15"/>
      <c r="C14" s="16"/>
      <c r="D14" s="14"/>
      <c r="E14" s="13"/>
      <c r="F14" s="56">
        <f>SUM(tblSPED[VALOR_TOTAL_SPED])</f>
        <v>0</v>
      </c>
      <c r="G14" s="56"/>
      <c r="H14" s="5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7.15" customHeight="1">
      <c r="A15" s="9"/>
      <c r="B15" s="42" t="s">
        <v>60</v>
      </c>
      <c r="C15" s="44">
        <f>COUNTIF(Comparacao_Final[STATUS_AUDITORIA], "CONFORME")</f>
        <v>0</v>
      </c>
      <c r="D15" s="14"/>
      <c r="E15" s="13"/>
      <c r="F15" s="56"/>
      <c r="G15" s="56"/>
      <c r="H15" s="5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7.15" customHeight="1">
      <c r="A16" s="14"/>
      <c r="B16" s="43"/>
      <c r="C16" s="45"/>
      <c r="D16" s="14"/>
      <c r="E16" s="13"/>
      <c r="F16" s="13"/>
      <c r="G16" s="13"/>
      <c r="H16" s="1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.15" customHeight="1">
      <c r="A17" s="14"/>
      <c r="B17" s="15"/>
      <c r="C17" s="16"/>
      <c r="D17" s="14"/>
      <c r="E17" s="13"/>
      <c r="F17" s="55" t="s">
        <v>66</v>
      </c>
      <c r="G17" s="55"/>
      <c r="H17" s="5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7.15" customHeight="1">
      <c r="A18" s="14"/>
      <c r="B18" s="46" t="s">
        <v>61</v>
      </c>
      <c r="C18" s="48">
        <f>COUNTA(tblRevisao[STATUS_AUDITORIA])</f>
        <v>0</v>
      </c>
      <c r="D18" s="14"/>
      <c r="E18" s="13"/>
      <c r="F18" s="54">
        <f>ABS(F10-F14)</f>
        <v>0</v>
      </c>
      <c r="G18" s="54"/>
      <c r="H18" s="5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7.15" customHeight="1">
      <c r="A19" s="9"/>
      <c r="B19" s="47"/>
      <c r="C19" s="49"/>
      <c r="D19" s="14"/>
      <c r="E19" s="13"/>
      <c r="F19" s="54"/>
      <c r="G19" s="54"/>
      <c r="H19" s="5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7.15" customHeight="1">
      <c r="A20" s="9"/>
      <c r="B20" s="15"/>
      <c r="C20" s="16"/>
      <c r="D20" s="14"/>
      <c r="E20" s="13"/>
      <c r="F20" s="13"/>
      <c r="G20" s="13"/>
      <c r="H20" s="1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7.15" customHeight="1">
      <c r="A21" s="9"/>
      <c r="B21" s="50" t="s">
        <v>62</v>
      </c>
      <c r="C21" s="52">
        <f>COUNTIF(Comparacao_Final[STATUS_AUDITORIA], "OMISSAO_SPED") + COUNTIF(Comparacao_Final[STATUS_AUDITORIA], "OMISSAO_XML")</f>
        <v>0</v>
      </c>
      <c r="D21" s="14"/>
      <c r="E21" s="13"/>
      <c r="F21" s="13"/>
      <c r="G21" s="13"/>
      <c r="H21" s="1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7.15" customHeight="1">
      <c r="A22" s="9"/>
      <c r="B22" s="51"/>
      <c r="C22" s="53"/>
      <c r="D22" s="14"/>
      <c r="E22" s="13"/>
      <c r="F22" s="13"/>
      <c r="G22" s="13"/>
      <c r="H22" s="13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8">
      <c r="A23" s="9"/>
      <c r="B23" s="9"/>
      <c r="C23" s="9"/>
      <c r="D23" s="9"/>
      <c r="E23" s="9"/>
      <c r="F23" s="9"/>
      <c r="G23" s="9"/>
      <c r="H23" s="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8" customHeight="1"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8" customHeight="1"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31" t="s">
        <v>4</v>
      </c>
      <c r="B27" s="31"/>
      <c r="C27" s="31"/>
      <c r="D27" s="31"/>
      <c r="E27" s="31"/>
      <c r="F27" s="31"/>
      <c r="G27" s="31"/>
      <c r="H27" s="3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31"/>
      <c r="B28" s="31"/>
      <c r="C28" s="31"/>
      <c r="D28" s="31"/>
      <c r="E28" s="31"/>
      <c r="F28" s="31"/>
      <c r="G28" s="31"/>
      <c r="H28" s="3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8" customHeight="1">
      <c r="A31" s="5"/>
      <c r="B31" s="32" t="s">
        <v>3</v>
      </c>
      <c r="C31" s="32"/>
      <c r="D31" s="32"/>
      <c r="E31" s="32"/>
      <c r="F31" s="32"/>
      <c r="G31" s="32"/>
      <c r="H31" s="3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32"/>
      <c r="C32" s="32"/>
      <c r="D32" s="32"/>
      <c r="E32" s="32"/>
      <c r="F32" s="32"/>
      <c r="G32" s="32"/>
      <c r="H32" s="3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32"/>
      <c r="C33" s="32"/>
      <c r="D33" s="32"/>
      <c r="E33" s="32"/>
      <c r="F33" s="32"/>
      <c r="G33" s="32"/>
      <c r="H33" s="3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32"/>
      <c r="C34" s="32"/>
      <c r="D34" s="32"/>
      <c r="E34" s="32"/>
      <c r="F34" s="32"/>
      <c r="G34" s="32"/>
      <c r="H34" s="3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32"/>
      <c r="C35" s="32"/>
      <c r="D35" s="32"/>
      <c r="E35" s="32"/>
      <c r="F35" s="32"/>
      <c r="G35" s="32"/>
      <c r="H35" s="3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32"/>
      <c r="C36" s="32"/>
      <c r="D36" s="32"/>
      <c r="E36" s="32"/>
      <c r="F36" s="32"/>
      <c r="G36" s="32"/>
      <c r="H36" s="3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32"/>
      <c r="C37" s="32"/>
      <c r="D37" s="32"/>
      <c r="E37" s="32"/>
      <c r="F37" s="32"/>
      <c r="G37" s="32"/>
      <c r="H37" s="3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32"/>
      <c r="C38" s="32"/>
      <c r="D38" s="32"/>
      <c r="E38" s="32"/>
      <c r="F38" s="32"/>
      <c r="G38" s="32"/>
      <c r="H38" s="3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32"/>
      <c r="C39" s="32"/>
      <c r="D39" s="32"/>
      <c r="E39" s="32"/>
      <c r="F39" s="32"/>
      <c r="G39" s="32"/>
      <c r="H39" s="3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32"/>
      <c r="C40" s="32"/>
      <c r="D40" s="32"/>
      <c r="E40" s="32"/>
      <c r="F40" s="32"/>
      <c r="G40" s="32"/>
      <c r="H40" s="3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32"/>
      <c r="C41" s="32"/>
      <c r="D41" s="32"/>
      <c r="E41" s="32"/>
      <c r="F41" s="32"/>
      <c r="G41" s="32"/>
      <c r="H41" s="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32"/>
      <c r="C42" s="32"/>
      <c r="D42" s="32"/>
      <c r="E42" s="32"/>
      <c r="F42" s="32"/>
      <c r="G42" s="32"/>
      <c r="H42" s="3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32"/>
      <c r="C43" s="32"/>
      <c r="D43" s="32"/>
      <c r="E43" s="32"/>
      <c r="F43" s="32"/>
      <c r="G43" s="32"/>
      <c r="H43" s="3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32"/>
      <c r="C44" s="32"/>
      <c r="D44" s="32"/>
      <c r="E44" s="32"/>
      <c r="F44" s="32"/>
      <c r="G44" s="32"/>
      <c r="H44" s="3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32"/>
      <c r="C45" s="32"/>
      <c r="D45" s="32"/>
      <c r="E45" s="32"/>
      <c r="F45" s="32"/>
      <c r="G45" s="32"/>
      <c r="H45" s="3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32"/>
      <c r="C46" s="32"/>
      <c r="D46" s="32"/>
      <c r="E46" s="32"/>
      <c r="F46" s="32"/>
      <c r="G46" s="32"/>
      <c r="H46" s="3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</sheetData>
  <mergeCells count="20">
    <mergeCell ref="F13:H13"/>
    <mergeCell ref="F18:H19"/>
    <mergeCell ref="F17:H17"/>
    <mergeCell ref="A1:H2"/>
    <mergeCell ref="A27:H28"/>
    <mergeCell ref="B31:H46"/>
    <mergeCell ref="B7:C7"/>
    <mergeCell ref="C9:C10"/>
    <mergeCell ref="B9:B10"/>
    <mergeCell ref="C12:C13"/>
    <mergeCell ref="B12:B13"/>
    <mergeCell ref="B15:B16"/>
    <mergeCell ref="C15:C16"/>
    <mergeCell ref="B18:B19"/>
    <mergeCell ref="C18:C19"/>
    <mergeCell ref="B21:B22"/>
    <mergeCell ref="C21:C22"/>
    <mergeCell ref="F10:H11"/>
    <mergeCell ref="F9:H9"/>
    <mergeCell ref="F14:H1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2"/>
  <sheetViews>
    <sheetView workbookViewId="0">
      <selection activeCell="F13" sqref="F13"/>
    </sheetView>
  </sheetViews>
  <sheetFormatPr defaultRowHeight="13.8"/>
  <cols>
    <col min="1" max="1" width="24" customWidth="1"/>
    <col min="2" max="2" width="62" customWidth="1"/>
    <col min="3" max="3" width="16" hidden="1" customWidth="1"/>
  </cols>
  <sheetData>
    <row r="1" spans="1:25" ht="27.15" customHeight="1">
      <c r="A1" s="29" t="s">
        <v>25</v>
      </c>
      <c r="B1" s="29"/>
      <c r="C1" s="2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22.35" customHeight="1">
      <c r="A2" s="30" t="s">
        <v>26</v>
      </c>
      <c r="B2" s="30"/>
      <c r="C2" s="30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4" customHeight="1">
      <c r="A4" s="1" t="s">
        <v>27</v>
      </c>
      <c r="B4" s="1" t="s">
        <v>11</v>
      </c>
      <c r="C4" s="5" t="s">
        <v>67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4" t="s">
        <v>28</v>
      </c>
      <c r="B5" s="67"/>
      <c r="C5" s="19" t="e">
        <f>COUNTIF(Comparacao_Final[STATUS_AUDITORIA], "CONFORME") / COUNTA(Comparacao_Final[STATUS_AUDITORIA])</f>
        <v>#DIV/0!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4" t="s">
        <v>29</v>
      </c>
      <c r="B6" s="68"/>
      <c r="C6" s="18" t="e">
        <f>1 - C5</f>
        <v>#DIV/0!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4" t="s">
        <v>30</v>
      </c>
      <c r="B7" s="6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4" t="s">
        <v>31</v>
      </c>
      <c r="B8" s="69">
        <v>0.01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2" t="s">
        <v>32</v>
      </c>
      <c r="B9" s="70" t="s">
        <v>33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3.8" customHeight="1">
      <c r="A10" t="s">
        <v>101</v>
      </c>
      <c r="B10" s="71">
        <v>3</v>
      </c>
      <c r="C10" s="2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t="s">
        <v>102</v>
      </c>
      <c r="B11" s="71" t="s">
        <v>103</v>
      </c>
      <c r="C11" s="2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t="s">
        <v>104</v>
      </c>
      <c r="B12" s="71" t="s">
        <v>103</v>
      </c>
      <c r="C12" s="2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66">
      <c r="A13" s="24" t="s">
        <v>34</v>
      </c>
      <c r="B13" s="2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24"/>
      <c r="B14" s="2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24"/>
      <c r="B15" s="2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</row>
    <row r="201" spans="1:25">
      <c r="A201" s="5"/>
      <c r="B201" s="5"/>
    </row>
    <row r="202" spans="1:25">
      <c r="A202" s="5"/>
      <c r="B202" s="5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97"/>
  <sheetViews>
    <sheetView workbookViewId="0">
      <selection activeCell="B26" sqref="B26"/>
    </sheetView>
  </sheetViews>
  <sheetFormatPr defaultRowHeight="13.8"/>
  <cols>
    <col min="1" max="1" width="21.296875" bestFit="1" customWidth="1"/>
    <col min="2" max="2" width="57" bestFit="1" customWidth="1"/>
    <col min="3" max="3" width="19.296875" bestFit="1" customWidth="1"/>
    <col min="4" max="4" width="45.796875" bestFit="1" customWidth="1"/>
    <col min="5" max="5" width="12" bestFit="1" customWidth="1"/>
    <col min="6" max="6" width="8.296875" bestFit="1" customWidth="1"/>
    <col min="7" max="7" width="17.8984375" bestFit="1" customWidth="1"/>
    <col min="8" max="8" width="14.59765625" bestFit="1" customWidth="1"/>
    <col min="9" max="9" width="22.3984375" bestFit="1" customWidth="1"/>
    <col min="10" max="10" width="21.296875" bestFit="1" customWidth="1"/>
    <col min="11" max="11" width="20.59765625" customWidth="1"/>
    <col min="12" max="12" width="80.796875" bestFit="1" customWidth="1"/>
    <col min="13" max="13" width="53.3984375" bestFit="1" customWidth="1"/>
    <col min="14" max="14" width="45.796875" bestFit="1" customWidth="1"/>
    <col min="15" max="15" width="20.69921875" bestFit="1" customWidth="1"/>
    <col min="16" max="16" width="20" bestFit="1" customWidth="1"/>
    <col min="17" max="17" width="22.3984375" bestFit="1" customWidth="1"/>
    <col min="18" max="18" width="21.59765625" bestFit="1" customWidth="1"/>
    <col min="19" max="19" width="18.8984375" bestFit="1" customWidth="1"/>
    <col min="20" max="20" width="22.296875" bestFit="1" customWidth="1"/>
    <col min="21" max="21" width="24.296875" bestFit="1" customWidth="1"/>
    <col min="22" max="22" width="26.296875" bestFit="1" customWidth="1"/>
    <col min="23" max="23" width="26.69921875" bestFit="1" customWidth="1"/>
    <col min="24" max="24" width="80.796875" bestFit="1" customWidth="1"/>
    <col min="25" max="25" width="17" bestFit="1" customWidth="1"/>
    <col min="26" max="26" width="17.8984375" bestFit="1" customWidth="1"/>
    <col min="27" max="27" width="15.59765625" bestFit="1" customWidth="1"/>
    <col min="28" max="28" width="13.09765625" bestFit="1" customWidth="1"/>
    <col min="29" max="29" width="16.8984375" bestFit="1" customWidth="1"/>
    <col min="30" max="30" width="45.796875" bestFit="1" customWidth="1"/>
    <col min="31" max="31" width="19.59765625" bestFit="1" customWidth="1"/>
    <col min="32" max="32" width="18.796875" bestFit="1" customWidth="1"/>
    <col min="33" max="33" width="21.296875" bestFit="1" customWidth="1"/>
    <col min="34" max="34" width="20.5" bestFit="1" customWidth="1"/>
    <col min="35" max="35" width="17.796875" bestFit="1" customWidth="1"/>
    <col min="36" max="36" width="21.19921875" bestFit="1" customWidth="1"/>
    <col min="37" max="37" width="23.19921875" bestFit="1" customWidth="1"/>
    <col min="38" max="38" width="25.19921875" bestFit="1" customWidth="1"/>
    <col min="39" max="39" width="25.59765625" bestFit="1" customWidth="1"/>
    <col min="40" max="40" width="19.8984375" bestFit="1" customWidth="1"/>
    <col min="41" max="41" width="45.796875" bestFit="1" customWidth="1"/>
    <col min="42" max="42" width="14.09765625" bestFit="1" customWidth="1"/>
    <col min="43" max="43" width="15.296875" bestFit="1" customWidth="1"/>
    <col min="44" max="44" width="21" bestFit="1" customWidth="1"/>
    <col min="45" max="46" width="15" bestFit="1" customWidth="1"/>
    <col min="47" max="47" width="16.5" bestFit="1" customWidth="1"/>
    <col min="48" max="48" width="44.09765625" bestFit="1" customWidth="1"/>
    <col min="49" max="49" width="16" customWidth="1"/>
    <col min="50" max="50" width="48" customWidth="1"/>
    <col min="51" max="51" width="14" customWidth="1"/>
    <col min="52" max="52" width="30" customWidth="1"/>
    <col min="53" max="53" width="18" customWidth="1"/>
    <col min="54" max="55" width="16" customWidth="1"/>
    <col min="56" max="56" width="42" customWidth="1"/>
  </cols>
  <sheetData>
    <row r="1" spans="1:66" ht="24.6">
      <c r="A1" s="59" t="s">
        <v>5</v>
      </c>
      <c r="B1" s="59"/>
      <c r="C1" s="59"/>
      <c r="D1" s="59"/>
      <c r="E1" s="59"/>
      <c r="F1" s="59"/>
      <c r="G1" s="59"/>
      <c r="H1" s="59"/>
      <c r="I1" s="59"/>
      <c r="J1" s="59"/>
      <c r="K1" s="2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66" ht="13.8" customHeight="1">
      <c r="A2" s="58" t="s">
        <v>6</v>
      </c>
      <c r="B2" s="58"/>
      <c r="C2" s="58"/>
      <c r="D2" s="58"/>
      <c r="E2" s="58"/>
      <c r="F2" s="58"/>
      <c r="G2" s="58"/>
      <c r="H2" s="58"/>
      <c r="I2" s="58"/>
      <c r="J2" s="58"/>
      <c r="K2" s="2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66">
      <c r="A3" t="s">
        <v>99</v>
      </c>
      <c r="B3" t="s">
        <v>100</v>
      </c>
      <c r="C3" t="s">
        <v>110</v>
      </c>
      <c r="D3" t="s">
        <v>98</v>
      </c>
      <c r="E3" t="s">
        <v>105</v>
      </c>
      <c r="F3" t="s">
        <v>106</v>
      </c>
      <c r="G3" t="s">
        <v>107</v>
      </c>
      <c r="H3" t="s">
        <v>108</v>
      </c>
      <c r="I3" t="s">
        <v>91</v>
      </c>
      <c r="J3" t="s">
        <v>77</v>
      </c>
      <c r="K3" t="s">
        <v>109</v>
      </c>
      <c r="L3" s="5"/>
      <c r="M3" s="5"/>
      <c r="N3" s="5"/>
      <c r="O3" s="5"/>
      <c r="P3" s="6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66"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66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66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66">
      <c r="L7" s="5"/>
      <c r="M7" s="5"/>
      <c r="N7" s="5"/>
      <c r="O7" s="5"/>
      <c r="P7" s="5"/>
      <c r="Q7" s="6"/>
      <c r="R7" s="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66">
      <c r="L8" s="5"/>
      <c r="M8" s="5"/>
      <c r="N8" s="5"/>
      <c r="O8" s="5"/>
      <c r="P8" s="5"/>
      <c r="Q8" s="6"/>
      <c r="R8" s="6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66">
      <c r="L9" s="5"/>
      <c r="M9" s="5"/>
      <c r="N9" s="5"/>
      <c r="O9" s="5"/>
      <c r="P9" s="5"/>
      <c r="Q9" s="6"/>
      <c r="R9" s="6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66">
      <c r="L10" s="5"/>
      <c r="M10" s="5"/>
      <c r="N10" s="5"/>
      <c r="O10" s="5"/>
      <c r="P10" s="5"/>
      <c r="Q10" s="6"/>
      <c r="R10" s="6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66">
      <c r="L11" s="5"/>
      <c r="M11" s="5"/>
      <c r="N11" s="5"/>
      <c r="O11" s="5"/>
      <c r="P11" s="5"/>
      <c r="Q11" s="6"/>
      <c r="R11" s="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66">
      <c r="L12" s="5"/>
      <c r="M12" s="5"/>
      <c r="N12" s="5"/>
      <c r="O12" s="5"/>
      <c r="P12" s="5"/>
      <c r="Q12" s="6"/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66">
      <c r="L13" s="5"/>
      <c r="M13" s="5"/>
      <c r="N13" s="5"/>
      <c r="O13" s="5"/>
      <c r="P13" s="5"/>
      <c r="Q13" s="6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66">
      <c r="L14" s="5"/>
      <c r="M14" s="5"/>
      <c r="N14" s="5"/>
      <c r="O14" s="5"/>
      <c r="P14" s="5"/>
      <c r="Q14" s="6"/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66">
      <c r="L15" s="5"/>
      <c r="M15" s="5"/>
      <c r="N15" s="5"/>
      <c r="O15" s="5"/>
      <c r="P15" s="5"/>
      <c r="Q15" s="6"/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66">
      <c r="AO16" s="5"/>
      <c r="AP16" s="5"/>
      <c r="AQ16" s="5"/>
      <c r="AR16" s="5"/>
      <c r="AS16" s="5"/>
      <c r="AT16" s="6"/>
      <c r="AU16" s="6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r="17" spans="41:74">
      <c r="AO17" s="5"/>
      <c r="AP17" s="5"/>
      <c r="AQ17" s="5"/>
      <c r="AR17" s="5"/>
      <c r="AS17" s="5"/>
      <c r="AT17" s="6"/>
      <c r="AU17" s="6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spans="41:74">
      <c r="AO18" s="5"/>
      <c r="AP18" s="5"/>
      <c r="AQ18" s="5"/>
      <c r="AR18" s="5"/>
      <c r="AS18" s="5"/>
      <c r="AT18" s="6"/>
      <c r="AU18" s="6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r="19" spans="41:74">
      <c r="AO19" s="5"/>
      <c r="AP19" s="5"/>
      <c r="AQ19" s="5"/>
      <c r="AR19" s="5"/>
      <c r="AS19" s="5"/>
      <c r="AT19" s="6"/>
      <c r="AU19" s="6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r="20" spans="41:74">
      <c r="AW20" s="5"/>
      <c r="AX20" s="5"/>
      <c r="AY20" s="5"/>
      <c r="AZ20" s="5"/>
      <c r="BA20" s="5"/>
      <c r="BB20" s="6"/>
      <c r="BC20" s="6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spans="41:74">
      <c r="AW21" s="5"/>
      <c r="AX21" s="5"/>
      <c r="AY21" s="5"/>
      <c r="AZ21" s="5"/>
      <c r="BA21" s="5"/>
      <c r="BB21" s="6"/>
      <c r="BC21" s="6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spans="41:74">
      <c r="AW22" s="5"/>
      <c r="AX22" s="5"/>
      <c r="AY22" s="5"/>
      <c r="AZ22" s="5"/>
      <c r="BA22" s="5"/>
      <c r="BB22" s="6"/>
      <c r="BC22" s="6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spans="41:74">
      <c r="AW23" s="5"/>
      <c r="AX23" s="5"/>
      <c r="AY23" s="5"/>
      <c r="AZ23" s="5"/>
      <c r="BA23" s="5"/>
      <c r="BB23" s="6"/>
      <c r="BC23" s="6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4" spans="41:74">
      <c r="AW24" s="5"/>
      <c r="AX24" s="5"/>
      <c r="AY24" s="5"/>
      <c r="AZ24" s="5"/>
      <c r="BA24" s="5"/>
      <c r="BB24" s="6"/>
      <c r="BC24" s="6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</row>
    <row r="25" spans="41:74">
      <c r="AW25" s="5"/>
      <c r="AX25" s="5"/>
      <c r="AY25" s="5"/>
      <c r="AZ25" s="5"/>
      <c r="BA25" s="5"/>
      <c r="BB25" s="6"/>
      <c r="BC25" s="6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</row>
    <row r="26" spans="41:74">
      <c r="AW26" s="5"/>
      <c r="AX26" s="5"/>
      <c r="AY26" s="5"/>
      <c r="AZ26" s="5"/>
      <c r="BA26" s="5"/>
      <c r="BB26" s="6"/>
      <c r="BC26" s="6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</row>
    <row r="27" spans="41:74">
      <c r="AW27" s="5"/>
      <c r="AX27" s="5"/>
      <c r="AY27" s="5"/>
      <c r="AZ27" s="5"/>
      <c r="BA27" s="5"/>
      <c r="BB27" s="6"/>
      <c r="BC27" s="6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spans="41:74">
      <c r="AW28" s="5"/>
      <c r="AX28" s="5"/>
      <c r="AY28" s="5"/>
      <c r="AZ28" s="5"/>
      <c r="BA28" s="5"/>
      <c r="BB28" s="6"/>
      <c r="BC28" s="6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spans="41:74">
      <c r="AW29" s="5"/>
      <c r="AX29" s="5"/>
      <c r="AY29" s="5"/>
      <c r="AZ29" s="5"/>
      <c r="BA29" s="5"/>
      <c r="BB29" s="6"/>
      <c r="BC29" s="6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spans="41:74">
      <c r="AW30" s="5"/>
      <c r="AX30" s="5"/>
      <c r="AY30" s="5"/>
      <c r="AZ30" s="5"/>
      <c r="BA30" s="5"/>
      <c r="BB30" s="6"/>
      <c r="BC30" s="6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spans="41:74">
      <c r="AW31" s="5"/>
      <c r="AX31" s="5"/>
      <c r="AY31" s="5"/>
      <c r="AZ31" s="5"/>
      <c r="BA31" s="5"/>
      <c r="BB31" s="6"/>
      <c r="BC31" s="6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spans="41:74">
      <c r="AW32" s="5"/>
      <c r="AX32" s="5"/>
      <c r="AY32" s="5"/>
      <c r="AZ32" s="5"/>
      <c r="BA32" s="5"/>
      <c r="BB32" s="6"/>
      <c r="BC32" s="6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spans="49:74">
      <c r="AW33" s="5"/>
      <c r="AX33" s="5"/>
      <c r="AY33" s="5"/>
      <c r="AZ33" s="5"/>
      <c r="BA33" s="5"/>
      <c r="BB33" s="6"/>
      <c r="BC33" s="6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4" spans="49:74">
      <c r="AW34" s="5"/>
      <c r="AX34" s="5"/>
      <c r="AY34" s="5"/>
      <c r="AZ34" s="5"/>
      <c r="BA34" s="5"/>
      <c r="BB34" s="6"/>
      <c r="BC34" s="6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</row>
    <row r="35" spans="49:74">
      <c r="AW35" s="5"/>
      <c r="AX35" s="5"/>
      <c r="AY35" s="5"/>
      <c r="AZ35" s="5"/>
      <c r="BA35" s="5"/>
      <c r="BB35" s="6"/>
      <c r="BC35" s="6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</row>
    <row r="36" spans="49:74">
      <c r="AW36" s="5"/>
      <c r="AX36" s="5"/>
      <c r="AY36" s="5"/>
      <c r="AZ36" s="5"/>
      <c r="BA36" s="5"/>
      <c r="BB36" s="6"/>
      <c r="BC36" s="6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</row>
    <row r="37" spans="49:74">
      <c r="AW37" s="5"/>
      <c r="AX37" s="5"/>
      <c r="AY37" s="5"/>
      <c r="AZ37" s="5"/>
      <c r="BA37" s="5"/>
      <c r="BB37" s="6"/>
      <c r="BC37" s="6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</row>
    <row r="38" spans="49:74">
      <c r="AW38" s="5"/>
      <c r="AX38" s="5"/>
      <c r="AY38" s="5"/>
      <c r="AZ38" s="5"/>
      <c r="BA38" s="5"/>
      <c r="BB38" s="6"/>
      <c r="BC38" s="6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</row>
    <row r="39" spans="49:74">
      <c r="AW39" s="5"/>
      <c r="AX39" s="5"/>
      <c r="AY39" s="5"/>
      <c r="AZ39" s="5"/>
      <c r="BA39" s="5"/>
      <c r="BB39" s="6"/>
      <c r="BC39" s="6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</row>
    <row r="40" spans="49:74">
      <c r="AW40" s="5"/>
      <c r="AX40" s="5"/>
      <c r="AY40" s="5"/>
      <c r="AZ40" s="5"/>
      <c r="BA40" s="5"/>
      <c r="BB40" s="6"/>
      <c r="BC40" s="6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</row>
    <row r="41" spans="49:74">
      <c r="AW41" s="5"/>
      <c r="AX41" s="5"/>
      <c r="AY41" s="5"/>
      <c r="AZ41" s="5"/>
      <c r="BA41" s="5"/>
      <c r="BB41" s="6"/>
      <c r="BC41" s="6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</row>
    <row r="42" spans="49:74">
      <c r="AW42" s="5"/>
      <c r="AX42" s="5"/>
      <c r="AY42" s="5"/>
      <c r="AZ42" s="5"/>
      <c r="BA42" s="5"/>
      <c r="BB42" s="6"/>
      <c r="BC42" s="6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</row>
    <row r="43" spans="49:74">
      <c r="AW43" s="5"/>
      <c r="AX43" s="5"/>
      <c r="AY43" s="5"/>
      <c r="AZ43" s="5"/>
      <c r="BA43" s="5"/>
      <c r="BB43" s="6"/>
      <c r="BC43" s="6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</row>
    <row r="44" spans="49:74">
      <c r="AW44" s="5"/>
      <c r="AX44" s="5"/>
      <c r="AY44" s="5"/>
      <c r="AZ44" s="5"/>
      <c r="BA44" s="5"/>
      <c r="BB44" s="6"/>
      <c r="BC44" s="6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</row>
    <row r="45" spans="49:74">
      <c r="AW45" s="5"/>
      <c r="AX45" s="5"/>
      <c r="AY45" s="5"/>
      <c r="AZ45" s="5"/>
      <c r="BA45" s="5"/>
      <c r="BB45" s="6"/>
      <c r="BC45" s="6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</row>
    <row r="46" spans="49:74">
      <c r="AW46" s="5"/>
      <c r="AX46" s="5"/>
      <c r="AY46" s="5"/>
      <c r="AZ46" s="5"/>
      <c r="BA46" s="5"/>
      <c r="BB46" s="6"/>
      <c r="BC46" s="6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49:74">
      <c r="AW47" s="5"/>
      <c r="AX47" s="5"/>
      <c r="AY47" s="5"/>
      <c r="AZ47" s="5"/>
      <c r="BA47" s="5"/>
      <c r="BB47" s="6"/>
      <c r="BC47" s="6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49:74">
      <c r="AW48" s="5"/>
      <c r="AX48" s="5"/>
      <c r="AY48" s="5"/>
      <c r="AZ48" s="5"/>
      <c r="BA48" s="5"/>
      <c r="BB48" s="6"/>
      <c r="BC48" s="6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49:74">
      <c r="AW49" s="5"/>
      <c r="AX49" s="5"/>
      <c r="AY49" s="5"/>
      <c r="AZ49" s="5"/>
      <c r="BA49" s="5"/>
      <c r="BB49" s="6"/>
      <c r="BC49" s="6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49:74">
      <c r="AW50" s="5"/>
      <c r="AX50" s="5"/>
      <c r="AY50" s="5"/>
      <c r="AZ50" s="5"/>
      <c r="BA50" s="5"/>
      <c r="BB50" s="6"/>
      <c r="BC50" s="6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49:74">
      <c r="AW51" s="5"/>
      <c r="AX51" s="5"/>
      <c r="AY51" s="5"/>
      <c r="AZ51" s="5"/>
      <c r="BA51" s="5"/>
      <c r="BB51" s="6"/>
      <c r="BC51" s="6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49:74">
      <c r="AW52" s="5"/>
      <c r="AX52" s="5"/>
      <c r="AY52" s="5"/>
      <c r="AZ52" s="5"/>
      <c r="BA52" s="5"/>
      <c r="BB52" s="6"/>
      <c r="BC52" s="6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49:74">
      <c r="AW53" s="5"/>
      <c r="AX53" s="5"/>
      <c r="AY53" s="5"/>
      <c r="AZ53" s="5"/>
      <c r="BA53" s="5"/>
      <c r="BB53" s="6"/>
      <c r="BC53" s="6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49:74">
      <c r="AW54" s="5"/>
      <c r="AX54" s="5"/>
      <c r="AY54" s="5"/>
      <c r="AZ54" s="5"/>
      <c r="BA54" s="5"/>
      <c r="BB54" s="6"/>
      <c r="BC54" s="6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49:74">
      <c r="AW55" s="5"/>
      <c r="AX55" s="5"/>
      <c r="AY55" s="5"/>
      <c r="AZ55" s="5"/>
      <c r="BA55" s="5"/>
      <c r="BB55" s="6"/>
      <c r="BC55" s="6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49:74">
      <c r="AW56" s="5"/>
      <c r="AX56" s="5"/>
      <c r="AY56" s="5"/>
      <c r="AZ56" s="5"/>
      <c r="BA56" s="5"/>
      <c r="BB56" s="6"/>
      <c r="BC56" s="6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49:74">
      <c r="AW57" s="5"/>
      <c r="AX57" s="5"/>
      <c r="AY57" s="5"/>
      <c r="AZ57" s="5"/>
      <c r="BA57" s="5"/>
      <c r="BB57" s="6"/>
      <c r="BC57" s="6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49:74">
      <c r="AW58" s="5"/>
      <c r="AX58" s="5"/>
      <c r="AY58" s="5"/>
      <c r="AZ58" s="5"/>
      <c r="BA58" s="5"/>
      <c r="BB58" s="6"/>
      <c r="BC58" s="6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49:74">
      <c r="AW59" s="5"/>
      <c r="AX59" s="5"/>
      <c r="AY59" s="5"/>
      <c r="AZ59" s="5"/>
      <c r="BA59" s="5"/>
      <c r="BB59" s="6"/>
      <c r="BC59" s="6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49:74">
      <c r="AW60" s="5"/>
      <c r="AX60" s="5"/>
      <c r="AY60" s="5"/>
      <c r="AZ60" s="5"/>
      <c r="BA60" s="5"/>
      <c r="BB60" s="6"/>
      <c r="BC60" s="6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49:74">
      <c r="AW61" s="5"/>
      <c r="AX61" s="5"/>
      <c r="AY61" s="5"/>
      <c r="AZ61" s="5"/>
      <c r="BA61" s="5"/>
      <c r="BB61" s="6"/>
      <c r="BC61" s="6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</row>
    <row r="62" spans="49:74">
      <c r="AW62" s="5"/>
      <c r="AX62" s="5"/>
      <c r="AY62" s="5"/>
      <c r="AZ62" s="5"/>
      <c r="BA62" s="5"/>
      <c r="BB62" s="6"/>
      <c r="BC62" s="6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</row>
    <row r="63" spans="49:74">
      <c r="AW63" s="5"/>
      <c r="AX63" s="5"/>
      <c r="AY63" s="5"/>
      <c r="AZ63" s="5"/>
      <c r="BA63" s="5"/>
      <c r="BB63" s="6"/>
      <c r="BC63" s="6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</row>
    <row r="64" spans="49:74">
      <c r="AW64" s="5"/>
      <c r="AX64" s="5"/>
      <c r="AY64" s="5"/>
      <c r="AZ64" s="5"/>
      <c r="BA64" s="5"/>
      <c r="BB64" s="6"/>
      <c r="BC64" s="6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</row>
    <row r="65" spans="49:74">
      <c r="AW65" s="5"/>
      <c r="AX65" s="5"/>
      <c r="AY65" s="5"/>
      <c r="AZ65" s="5"/>
      <c r="BA65" s="5"/>
      <c r="BB65" s="6"/>
      <c r="BC65" s="6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</row>
    <row r="66" spans="49:74">
      <c r="AW66" s="5"/>
      <c r="AX66" s="5"/>
      <c r="AY66" s="5"/>
      <c r="AZ66" s="5"/>
      <c r="BA66" s="5"/>
      <c r="BB66" s="6"/>
      <c r="BC66" s="6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</row>
    <row r="67" spans="49:74">
      <c r="AW67" s="5"/>
      <c r="AX67" s="5"/>
      <c r="AY67" s="5"/>
      <c r="AZ67" s="5"/>
      <c r="BA67" s="5"/>
      <c r="BB67" s="6"/>
      <c r="BC67" s="6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</row>
    <row r="68" spans="49:74">
      <c r="AW68" s="5"/>
      <c r="AX68" s="5"/>
      <c r="AY68" s="5"/>
      <c r="AZ68" s="5"/>
      <c r="BA68" s="5"/>
      <c r="BB68" s="6"/>
      <c r="BC68" s="6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</row>
    <row r="69" spans="49:74">
      <c r="AW69" s="5"/>
      <c r="AX69" s="5"/>
      <c r="AY69" s="5"/>
      <c r="AZ69" s="5"/>
      <c r="BA69" s="5"/>
      <c r="BB69" s="6"/>
      <c r="BC69" s="6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</row>
    <row r="70" spans="49:74">
      <c r="AW70" s="5"/>
      <c r="AX70" s="5"/>
      <c r="AY70" s="5"/>
      <c r="AZ70" s="5"/>
      <c r="BA70" s="5"/>
      <c r="BB70" s="6"/>
      <c r="BC70" s="6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</row>
    <row r="71" spans="49:74">
      <c r="AW71" s="5"/>
      <c r="AX71" s="5"/>
      <c r="AY71" s="5"/>
      <c r="AZ71" s="5"/>
      <c r="BA71" s="5"/>
      <c r="BB71" s="6"/>
      <c r="BC71" s="6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49:74">
      <c r="AW72" s="5"/>
      <c r="AX72" s="5"/>
      <c r="AY72" s="5"/>
      <c r="AZ72" s="5"/>
      <c r="BA72" s="5"/>
      <c r="BB72" s="6"/>
      <c r="BC72" s="6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49:74">
      <c r="AW73" s="5"/>
      <c r="AX73" s="5"/>
      <c r="AY73" s="5"/>
      <c r="AZ73" s="5"/>
      <c r="BA73" s="5"/>
      <c r="BB73" s="6"/>
      <c r="BC73" s="6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49:74">
      <c r="AW74" s="5"/>
      <c r="AX74" s="5"/>
      <c r="AY74" s="5"/>
      <c r="AZ74" s="5"/>
      <c r="BA74" s="5"/>
      <c r="BB74" s="6"/>
      <c r="BC74" s="6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49:74">
      <c r="AW75" s="5"/>
      <c r="AX75" s="5"/>
      <c r="AY75" s="5"/>
      <c r="AZ75" s="5"/>
      <c r="BA75" s="5"/>
      <c r="BB75" s="6"/>
      <c r="BC75" s="6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49:74">
      <c r="AW76" s="5"/>
      <c r="AX76" s="5"/>
      <c r="AY76" s="5"/>
      <c r="AZ76" s="5"/>
      <c r="BA76" s="5"/>
      <c r="BB76" s="6"/>
      <c r="BC76" s="6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49:74">
      <c r="AW77" s="5"/>
      <c r="AX77" s="5"/>
      <c r="AY77" s="5"/>
      <c r="AZ77" s="5"/>
      <c r="BA77" s="5"/>
      <c r="BB77" s="6"/>
      <c r="BC77" s="6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</row>
    <row r="78" spans="49:74">
      <c r="AW78" s="5"/>
      <c r="AX78" s="5"/>
      <c r="AY78" s="5"/>
      <c r="AZ78" s="5"/>
      <c r="BA78" s="5"/>
      <c r="BB78" s="6"/>
      <c r="BC78" s="6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</row>
    <row r="79" spans="49:74">
      <c r="AW79" s="5"/>
      <c r="AX79" s="5"/>
      <c r="AY79" s="5"/>
      <c r="AZ79" s="5"/>
      <c r="BA79" s="5"/>
      <c r="BB79" s="6"/>
      <c r="BC79" s="6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</row>
    <row r="80" spans="49:74">
      <c r="AW80" s="5"/>
      <c r="AX80" s="5"/>
      <c r="AY80" s="5"/>
      <c r="AZ80" s="5"/>
      <c r="BA80" s="5"/>
      <c r="BB80" s="6"/>
      <c r="BC80" s="6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</row>
    <row r="81" spans="49:74">
      <c r="AW81" s="5"/>
      <c r="AX81" s="5"/>
      <c r="AY81" s="5"/>
      <c r="AZ81" s="5"/>
      <c r="BA81" s="5"/>
      <c r="BB81" s="6"/>
      <c r="BC81" s="6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</row>
    <row r="82" spans="49:74">
      <c r="AW82" s="5"/>
      <c r="AX82" s="5"/>
      <c r="AY82" s="5"/>
      <c r="AZ82" s="5"/>
      <c r="BA82" s="5"/>
      <c r="BB82" s="6"/>
      <c r="BC82" s="6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</row>
    <row r="83" spans="49:74">
      <c r="AW83" s="5"/>
      <c r="AX83" s="5"/>
      <c r="AY83" s="5"/>
      <c r="AZ83" s="5"/>
      <c r="BA83" s="5"/>
      <c r="BB83" s="6"/>
      <c r="BC83" s="6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</row>
    <row r="84" spans="49:74">
      <c r="AW84" s="5"/>
      <c r="AX84" s="5"/>
      <c r="AY84" s="5"/>
      <c r="AZ84" s="5"/>
      <c r="BA84" s="5"/>
      <c r="BB84" s="6"/>
      <c r="BC84" s="6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</row>
    <row r="85" spans="49:74">
      <c r="AW85" s="5"/>
      <c r="AX85" s="5"/>
      <c r="AY85" s="5"/>
      <c r="AZ85" s="5"/>
      <c r="BA85" s="5"/>
      <c r="BB85" s="6"/>
      <c r="BC85" s="6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</row>
    <row r="86" spans="49:74">
      <c r="AW86" s="5"/>
      <c r="AX86" s="5"/>
      <c r="AY86" s="5"/>
      <c r="AZ86" s="5"/>
      <c r="BA86" s="5"/>
      <c r="BB86" s="6"/>
      <c r="BC86" s="6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</row>
    <row r="87" spans="49:74">
      <c r="AW87" s="5"/>
      <c r="AX87" s="5"/>
      <c r="AY87" s="5"/>
      <c r="AZ87" s="5"/>
      <c r="BA87" s="5"/>
      <c r="BB87" s="6"/>
      <c r="BC87" s="6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spans="49:74">
      <c r="AW88" s="5"/>
      <c r="AX88" s="5"/>
      <c r="AY88" s="5"/>
      <c r="AZ88" s="5"/>
      <c r="BA88" s="5"/>
      <c r="BB88" s="6"/>
      <c r="BC88" s="6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89" spans="49:74">
      <c r="AW89" s="5"/>
      <c r="AX89" s="5"/>
      <c r="AY89" s="5"/>
      <c r="AZ89" s="5"/>
      <c r="BA89" s="5"/>
      <c r="BB89" s="6"/>
      <c r="BC89" s="6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</row>
    <row r="90" spans="49:74">
      <c r="AW90" s="5"/>
      <c r="AX90" s="5"/>
      <c r="AY90" s="5"/>
      <c r="AZ90" s="5"/>
      <c r="BA90" s="5"/>
      <c r="BB90" s="6"/>
      <c r="BC90" s="6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</row>
    <row r="91" spans="49:74">
      <c r="AW91" s="5"/>
      <c r="AX91" s="5"/>
      <c r="AY91" s="5"/>
      <c r="AZ91" s="5"/>
      <c r="BA91" s="5"/>
      <c r="BB91" s="6"/>
      <c r="BC91" s="6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</row>
    <row r="92" spans="49:74">
      <c r="AW92" s="5"/>
      <c r="AX92" s="5"/>
      <c r="AY92" s="5"/>
      <c r="AZ92" s="5"/>
      <c r="BA92" s="5"/>
      <c r="BB92" s="6"/>
      <c r="BC92" s="6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</row>
    <row r="93" spans="49:74">
      <c r="AW93" s="5"/>
      <c r="AX93" s="5"/>
      <c r="AY93" s="5"/>
      <c r="AZ93" s="5"/>
      <c r="BA93" s="5"/>
      <c r="BB93" s="6"/>
      <c r="BC93" s="6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</row>
    <row r="94" spans="49:74">
      <c r="AW94" s="5"/>
      <c r="AX94" s="5"/>
      <c r="AY94" s="5"/>
      <c r="AZ94" s="5"/>
      <c r="BA94" s="5"/>
      <c r="BB94" s="6"/>
      <c r="BC94" s="6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</row>
    <row r="95" spans="49:74">
      <c r="AW95" s="5"/>
      <c r="AX95" s="5"/>
      <c r="AY95" s="5"/>
      <c r="AZ95" s="5"/>
      <c r="BA95" s="5"/>
      <c r="BB95" s="6"/>
      <c r="BC95" s="6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</row>
    <row r="96" spans="49:74">
      <c r="AW96" s="5"/>
      <c r="AX96" s="5"/>
      <c r="AY96" s="5"/>
      <c r="AZ96" s="5"/>
      <c r="BA96" s="5"/>
      <c r="BB96" s="6"/>
      <c r="BC96" s="6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</row>
    <row r="97" spans="49:74">
      <c r="AW97" s="5"/>
      <c r="AX97" s="5"/>
      <c r="AY97" s="5"/>
      <c r="AZ97" s="5"/>
      <c r="BA97" s="5"/>
      <c r="BB97" s="6"/>
      <c r="BC97" s="6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</row>
    <row r="98" spans="49:74">
      <c r="AW98" s="5"/>
      <c r="AX98" s="5"/>
      <c r="AY98" s="5"/>
      <c r="AZ98" s="5"/>
      <c r="BA98" s="5"/>
      <c r="BB98" s="6"/>
      <c r="BC98" s="6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</row>
    <row r="99" spans="49:74">
      <c r="AW99" s="5"/>
      <c r="AX99" s="5"/>
      <c r="AY99" s="5"/>
      <c r="AZ99" s="5"/>
      <c r="BA99" s="5"/>
      <c r="BB99" s="6"/>
      <c r="BC99" s="6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</row>
    <row r="100" spans="49:74">
      <c r="AW100" s="5"/>
      <c r="AX100" s="5"/>
      <c r="AY100" s="5"/>
      <c r="AZ100" s="5"/>
      <c r="BA100" s="5"/>
      <c r="BB100" s="6"/>
      <c r="BC100" s="6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</row>
    <row r="101" spans="49:74">
      <c r="AW101" s="5"/>
      <c r="AX101" s="5"/>
      <c r="AY101" s="5"/>
      <c r="AZ101" s="5"/>
      <c r="BA101" s="5"/>
      <c r="BB101" s="6"/>
      <c r="BC101" s="6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</row>
    <row r="102" spans="49:74">
      <c r="AW102" s="5"/>
      <c r="AX102" s="5"/>
      <c r="AY102" s="5"/>
      <c r="AZ102" s="5"/>
      <c r="BA102" s="5"/>
      <c r="BB102" s="6"/>
      <c r="BC102" s="6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</row>
    <row r="103" spans="49:74">
      <c r="AW103" s="5"/>
      <c r="AX103" s="5"/>
      <c r="AY103" s="5"/>
      <c r="AZ103" s="5"/>
      <c r="BA103" s="5"/>
      <c r="BB103" s="6"/>
      <c r="BC103" s="6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</row>
    <row r="104" spans="49:74">
      <c r="AW104" s="5"/>
      <c r="AX104" s="5"/>
      <c r="AY104" s="5"/>
      <c r="AZ104" s="5"/>
      <c r="BA104" s="5"/>
      <c r="BB104" s="6"/>
      <c r="BC104" s="6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</row>
    <row r="105" spans="49:74">
      <c r="AW105" s="5"/>
      <c r="AX105" s="5"/>
      <c r="AY105" s="5"/>
      <c r="AZ105" s="5"/>
      <c r="BA105" s="5"/>
      <c r="BB105" s="6"/>
      <c r="BC105" s="6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</row>
    <row r="106" spans="49:74">
      <c r="AW106" s="5"/>
      <c r="AX106" s="5"/>
      <c r="AY106" s="5"/>
      <c r="AZ106" s="5"/>
      <c r="BA106" s="5"/>
      <c r="BB106" s="6"/>
      <c r="BC106" s="6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</row>
    <row r="107" spans="49:74">
      <c r="AW107" s="5"/>
      <c r="AX107" s="5"/>
      <c r="AY107" s="5"/>
      <c r="AZ107" s="5"/>
      <c r="BA107" s="5"/>
      <c r="BB107" s="6"/>
      <c r="BC107" s="6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</row>
    <row r="108" spans="49:74">
      <c r="AW108" s="5"/>
      <c r="AX108" s="5"/>
      <c r="AY108" s="5"/>
      <c r="AZ108" s="5"/>
      <c r="BA108" s="5"/>
      <c r="BB108" s="6"/>
      <c r="BC108" s="6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</row>
    <row r="109" spans="49:74">
      <c r="AW109" s="5"/>
      <c r="AX109" s="5"/>
      <c r="AY109" s="5"/>
      <c r="AZ109" s="5"/>
      <c r="BA109" s="5"/>
      <c r="BB109" s="6"/>
      <c r="BC109" s="6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</row>
    <row r="110" spans="49:74">
      <c r="AW110" s="5"/>
      <c r="AX110" s="5"/>
      <c r="AY110" s="5"/>
      <c r="AZ110" s="5"/>
      <c r="BA110" s="5"/>
      <c r="BB110" s="6"/>
      <c r="BC110" s="6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</row>
    <row r="111" spans="49:74">
      <c r="AW111" s="5"/>
      <c r="AX111" s="5"/>
      <c r="AY111" s="5"/>
      <c r="AZ111" s="5"/>
      <c r="BA111" s="5"/>
      <c r="BB111" s="6"/>
      <c r="BC111" s="6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</row>
    <row r="112" spans="49:74">
      <c r="AW112" s="5"/>
      <c r="AX112" s="5"/>
      <c r="AY112" s="5"/>
      <c r="AZ112" s="5"/>
      <c r="BA112" s="5"/>
      <c r="BB112" s="6"/>
      <c r="BC112" s="6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</row>
    <row r="113" spans="49:74">
      <c r="AW113" s="5"/>
      <c r="AX113" s="5"/>
      <c r="AY113" s="5"/>
      <c r="AZ113" s="5"/>
      <c r="BA113" s="5"/>
      <c r="BB113" s="6"/>
      <c r="BC113" s="6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</row>
    <row r="114" spans="49:74">
      <c r="AW114" s="5"/>
      <c r="AX114" s="5"/>
      <c r="AY114" s="5"/>
      <c r="AZ114" s="5"/>
      <c r="BA114" s="5"/>
      <c r="BB114" s="6"/>
      <c r="BC114" s="6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</row>
    <row r="115" spans="49:74">
      <c r="AW115" s="5"/>
      <c r="AX115" s="5"/>
      <c r="AY115" s="5"/>
      <c r="AZ115" s="5"/>
      <c r="BA115" s="5"/>
      <c r="BB115" s="6"/>
      <c r="BC115" s="6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</row>
    <row r="116" spans="49:74">
      <c r="AW116" s="5"/>
      <c r="AX116" s="5"/>
      <c r="AY116" s="5"/>
      <c r="AZ116" s="5"/>
      <c r="BA116" s="5"/>
      <c r="BB116" s="6"/>
      <c r="BC116" s="6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</row>
    <row r="117" spans="49:74">
      <c r="AW117" s="5"/>
      <c r="AX117" s="5"/>
      <c r="AY117" s="5"/>
      <c r="AZ117" s="5"/>
      <c r="BA117" s="5"/>
      <c r="BB117" s="6"/>
      <c r="BC117" s="6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</row>
    <row r="118" spans="49:74">
      <c r="AW118" s="5"/>
      <c r="AX118" s="5"/>
      <c r="AY118" s="5"/>
      <c r="AZ118" s="5"/>
      <c r="BA118" s="5"/>
      <c r="BB118" s="6"/>
      <c r="BC118" s="6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</row>
    <row r="119" spans="49:74">
      <c r="AW119" s="5"/>
      <c r="AX119" s="5"/>
      <c r="AY119" s="5"/>
      <c r="AZ119" s="5"/>
      <c r="BA119" s="5"/>
      <c r="BB119" s="6"/>
      <c r="BC119" s="6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</row>
    <row r="120" spans="49:74">
      <c r="AW120" s="5"/>
      <c r="AX120" s="5"/>
      <c r="AY120" s="5"/>
      <c r="AZ120" s="5"/>
      <c r="BA120" s="5"/>
      <c r="BB120" s="6"/>
      <c r="BC120" s="6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</row>
    <row r="121" spans="49:74">
      <c r="AW121" s="5"/>
      <c r="AX121" s="5"/>
      <c r="AY121" s="5"/>
      <c r="AZ121" s="5"/>
      <c r="BA121" s="5"/>
      <c r="BB121" s="6"/>
      <c r="BC121" s="6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</row>
    <row r="122" spans="49:74">
      <c r="AW122" s="5"/>
      <c r="AX122" s="5"/>
      <c r="AY122" s="5"/>
      <c r="AZ122" s="5"/>
      <c r="BA122" s="5"/>
      <c r="BB122" s="6"/>
      <c r="BC122" s="6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</row>
    <row r="123" spans="49:74">
      <c r="AW123" s="5"/>
      <c r="AX123" s="5"/>
      <c r="AY123" s="5"/>
      <c r="AZ123" s="5"/>
      <c r="BA123" s="5"/>
      <c r="BB123" s="6"/>
      <c r="BC123" s="6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</row>
    <row r="124" spans="49:74">
      <c r="AW124" s="5"/>
      <c r="AX124" s="5"/>
      <c r="AY124" s="5"/>
      <c r="AZ124" s="5"/>
      <c r="BA124" s="5"/>
      <c r="BB124" s="6"/>
      <c r="BC124" s="6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</row>
    <row r="125" spans="49:74">
      <c r="AW125" s="5"/>
      <c r="AX125" s="5"/>
      <c r="AY125" s="5"/>
      <c r="AZ125" s="5"/>
      <c r="BA125" s="5"/>
      <c r="BB125" s="6"/>
      <c r="BC125" s="6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</row>
    <row r="126" spans="49:74">
      <c r="AW126" s="5"/>
      <c r="AX126" s="5"/>
      <c r="AY126" s="5"/>
      <c r="AZ126" s="5"/>
      <c r="BA126" s="5"/>
      <c r="BB126" s="6"/>
      <c r="BC126" s="6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</row>
    <row r="127" spans="49:74">
      <c r="AW127" s="5"/>
      <c r="AX127" s="5"/>
      <c r="AY127" s="5"/>
      <c r="AZ127" s="5"/>
      <c r="BA127" s="5"/>
      <c r="BB127" s="6"/>
      <c r="BC127" s="6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</row>
    <row r="128" spans="49:74">
      <c r="AW128" s="5"/>
      <c r="AX128" s="5"/>
      <c r="AY128" s="5"/>
      <c r="AZ128" s="5"/>
      <c r="BA128" s="5"/>
      <c r="BB128" s="6"/>
      <c r="BC128" s="6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</row>
    <row r="129" spans="49:74">
      <c r="AW129" s="5"/>
      <c r="AX129" s="5"/>
      <c r="AY129" s="5"/>
      <c r="AZ129" s="5"/>
      <c r="BA129" s="5"/>
      <c r="BB129" s="6"/>
      <c r="BC129" s="6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</row>
    <row r="130" spans="49:74">
      <c r="AW130" s="5"/>
      <c r="AX130" s="5"/>
      <c r="AY130" s="5"/>
      <c r="AZ130" s="5"/>
      <c r="BA130" s="5"/>
      <c r="BB130" s="6"/>
      <c r="BC130" s="6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</row>
    <row r="131" spans="49:74">
      <c r="AW131" s="5"/>
      <c r="AX131" s="5"/>
      <c r="AY131" s="5"/>
      <c r="AZ131" s="5"/>
      <c r="BA131" s="5"/>
      <c r="BB131" s="6"/>
      <c r="BC131" s="6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</row>
    <row r="132" spans="49:74">
      <c r="AW132" s="5"/>
      <c r="AX132" s="5"/>
      <c r="AY132" s="5"/>
      <c r="AZ132" s="5"/>
      <c r="BA132" s="5"/>
      <c r="BB132" s="6"/>
      <c r="BC132" s="6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</row>
    <row r="133" spans="49:74">
      <c r="AW133" s="5"/>
      <c r="AX133" s="5"/>
      <c r="AY133" s="5"/>
      <c r="AZ133" s="5"/>
      <c r="BA133" s="5"/>
      <c r="BB133" s="6"/>
      <c r="BC133" s="6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</row>
    <row r="134" spans="49:74">
      <c r="AW134" s="5"/>
      <c r="AX134" s="5"/>
      <c r="AY134" s="5"/>
      <c r="AZ134" s="5"/>
      <c r="BA134" s="5"/>
      <c r="BB134" s="6"/>
      <c r="BC134" s="6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</row>
    <row r="135" spans="49:74">
      <c r="AW135" s="5"/>
      <c r="AX135" s="5"/>
      <c r="AY135" s="5"/>
      <c r="AZ135" s="5"/>
      <c r="BA135" s="5"/>
      <c r="BB135" s="6"/>
      <c r="BC135" s="6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</row>
    <row r="136" spans="49:74">
      <c r="AW136" s="5"/>
      <c r="AX136" s="5"/>
      <c r="AY136" s="5"/>
      <c r="AZ136" s="5"/>
      <c r="BA136" s="5"/>
      <c r="BB136" s="6"/>
      <c r="BC136" s="6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</row>
    <row r="137" spans="49:74">
      <c r="AW137" s="5"/>
      <c r="AX137" s="5"/>
      <c r="AY137" s="5"/>
      <c r="AZ137" s="5"/>
      <c r="BA137" s="5"/>
      <c r="BB137" s="6"/>
      <c r="BC137" s="6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</row>
    <row r="138" spans="49:74">
      <c r="AW138" s="5"/>
      <c r="AX138" s="5"/>
      <c r="AY138" s="5"/>
      <c r="AZ138" s="5"/>
      <c r="BA138" s="5"/>
      <c r="BB138" s="6"/>
      <c r="BC138" s="6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</row>
    <row r="139" spans="49:74">
      <c r="AW139" s="5"/>
      <c r="AX139" s="5"/>
      <c r="AY139" s="5"/>
      <c r="AZ139" s="5"/>
      <c r="BA139" s="5"/>
      <c r="BB139" s="6"/>
      <c r="BC139" s="6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</row>
    <row r="140" spans="49:74">
      <c r="AW140" s="5"/>
      <c r="AX140" s="5"/>
      <c r="AY140" s="5"/>
      <c r="AZ140" s="5"/>
      <c r="BA140" s="5"/>
      <c r="BB140" s="6"/>
      <c r="BC140" s="6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</row>
    <row r="141" spans="49:74">
      <c r="AW141" s="5"/>
      <c r="AX141" s="5"/>
      <c r="AY141" s="5"/>
      <c r="AZ141" s="5"/>
      <c r="BA141" s="5"/>
      <c r="BB141" s="6"/>
      <c r="BC141" s="6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</row>
    <row r="142" spans="49:74">
      <c r="AW142" s="5"/>
      <c r="AX142" s="5"/>
      <c r="AY142" s="5"/>
      <c r="AZ142" s="5"/>
      <c r="BA142" s="5"/>
      <c r="BB142" s="6"/>
      <c r="BC142" s="6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</row>
    <row r="143" spans="49:74">
      <c r="AW143" s="5"/>
      <c r="AX143" s="5"/>
      <c r="AY143" s="5"/>
      <c r="AZ143" s="5"/>
      <c r="BA143" s="5"/>
      <c r="BB143" s="6"/>
      <c r="BC143" s="6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</row>
    <row r="144" spans="49:74">
      <c r="AW144" s="5"/>
      <c r="AX144" s="5"/>
      <c r="AY144" s="5"/>
      <c r="AZ144" s="5"/>
      <c r="BA144" s="5"/>
      <c r="BB144" s="6"/>
      <c r="BC144" s="6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</row>
    <row r="145" spans="49:74">
      <c r="AW145" s="5"/>
      <c r="AX145" s="5"/>
      <c r="AY145" s="5"/>
      <c r="AZ145" s="5"/>
      <c r="BA145" s="5"/>
      <c r="BB145" s="6"/>
      <c r="BC145" s="6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</row>
    <row r="146" spans="49:74">
      <c r="AW146" s="5"/>
      <c r="AX146" s="5"/>
      <c r="AY146" s="5"/>
      <c r="AZ146" s="5"/>
      <c r="BA146" s="5"/>
      <c r="BB146" s="6"/>
      <c r="BC146" s="6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</row>
    <row r="147" spans="49:74">
      <c r="AW147" s="5"/>
      <c r="AX147" s="5"/>
      <c r="AY147" s="5"/>
      <c r="AZ147" s="5"/>
      <c r="BA147" s="5"/>
      <c r="BB147" s="6"/>
      <c r="BC147" s="6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</row>
    <row r="148" spans="49:74">
      <c r="AW148" s="5"/>
      <c r="AX148" s="5"/>
      <c r="AY148" s="5"/>
      <c r="AZ148" s="5"/>
      <c r="BA148" s="5"/>
      <c r="BB148" s="6"/>
      <c r="BC148" s="6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</row>
    <row r="149" spans="49:74">
      <c r="AW149" s="5"/>
      <c r="AX149" s="5"/>
      <c r="AY149" s="5"/>
      <c r="AZ149" s="5"/>
      <c r="BA149" s="5"/>
      <c r="BB149" s="6"/>
      <c r="BC149" s="6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</row>
    <row r="150" spans="49:74">
      <c r="AW150" s="5"/>
      <c r="AX150" s="5"/>
      <c r="AY150" s="5"/>
      <c r="AZ150" s="5"/>
      <c r="BA150" s="5"/>
      <c r="BB150" s="6"/>
      <c r="BC150" s="6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</row>
    <row r="151" spans="49:74">
      <c r="AW151" s="5"/>
      <c r="AX151" s="5"/>
      <c r="AY151" s="5"/>
      <c r="AZ151" s="5"/>
      <c r="BA151" s="5"/>
      <c r="BB151" s="6"/>
      <c r="BC151" s="6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</row>
    <row r="152" spans="49:74">
      <c r="AW152" s="5"/>
      <c r="AX152" s="5"/>
      <c r="AY152" s="5"/>
      <c r="AZ152" s="5"/>
      <c r="BA152" s="5"/>
      <c r="BB152" s="6"/>
      <c r="BC152" s="6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</row>
    <row r="153" spans="49:74">
      <c r="AW153" s="5"/>
      <c r="AX153" s="5"/>
      <c r="AY153" s="5"/>
      <c r="AZ153" s="5"/>
      <c r="BA153" s="5"/>
      <c r="BB153" s="6"/>
      <c r="BC153" s="6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</row>
    <row r="154" spans="49:74">
      <c r="AW154" s="5"/>
      <c r="AX154" s="5"/>
      <c r="AY154" s="5"/>
      <c r="AZ154" s="5"/>
      <c r="BA154" s="5"/>
      <c r="BB154" s="6"/>
      <c r="BC154" s="6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</row>
    <row r="155" spans="49:74">
      <c r="AW155" s="5"/>
      <c r="AX155" s="5"/>
      <c r="AY155" s="5"/>
      <c r="AZ155" s="5"/>
      <c r="BA155" s="5"/>
      <c r="BB155" s="6"/>
      <c r="BC155" s="6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</row>
    <row r="156" spans="49:74">
      <c r="AW156" s="5"/>
      <c r="AX156" s="5"/>
      <c r="AY156" s="5"/>
      <c r="AZ156" s="5"/>
      <c r="BA156" s="5"/>
      <c r="BB156" s="6"/>
      <c r="BC156" s="6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</row>
    <row r="157" spans="49:74">
      <c r="AW157" s="5"/>
      <c r="AX157" s="5"/>
      <c r="AY157" s="5"/>
      <c r="AZ157" s="5"/>
      <c r="BA157" s="5"/>
      <c r="BB157" s="6"/>
      <c r="BC157" s="6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</row>
    <row r="158" spans="49:74">
      <c r="AW158" s="5"/>
      <c r="AX158" s="5"/>
      <c r="AY158" s="5"/>
      <c r="AZ158" s="5"/>
      <c r="BA158" s="5"/>
      <c r="BB158" s="6"/>
      <c r="BC158" s="6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</row>
    <row r="159" spans="49:74">
      <c r="AW159" s="5"/>
      <c r="AX159" s="5"/>
      <c r="AY159" s="5"/>
      <c r="AZ159" s="5"/>
      <c r="BA159" s="5"/>
      <c r="BB159" s="6"/>
      <c r="BC159" s="6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</row>
    <row r="160" spans="49:74">
      <c r="AW160" s="5"/>
      <c r="AX160" s="5"/>
      <c r="AY160" s="5"/>
      <c r="AZ160" s="5"/>
      <c r="BA160" s="5"/>
      <c r="BB160" s="6"/>
      <c r="BC160" s="6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</row>
    <row r="161" spans="49:74">
      <c r="AW161" s="5"/>
      <c r="AX161" s="5"/>
      <c r="AY161" s="5"/>
      <c r="AZ161" s="5"/>
      <c r="BA161" s="5"/>
      <c r="BB161" s="6"/>
      <c r="BC161" s="6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</row>
    <row r="162" spans="49:74">
      <c r="AW162" s="5"/>
      <c r="AX162" s="5"/>
      <c r="AY162" s="5"/>
      <c r="AZ162" s="5"/>
      <c r="BA162" s="5"/>
      <c r="BB162" s="6"/>
      <c r="BC162" s="6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</row>
    <row r="163" spans="49:74">
      <c r="AW163" s="5"/>
      <c r="AX163" s="5"/>
      <c r="AY163" s="5"/>
      <c r="AZ163" s="5"/>
      <c r="BA163" s="5"/>
      <c r="BB163" s="6"/>
      <c r="BC163" s="6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</row>
    <row r="164" spans="49:74">
      <c r="AW164" s="5"/>
      <c r="AX164" s="5"/>
      <c r="AY164" s="5"/>
      <c r="AZ164" s="5"/>
      <c r="BA164" s="5"/>
      <c r="BB164" s="6"/>
      <c r="BC164" s="6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</row>
    <row r="165" spans="49:74">
      <c r="AW165" s="5"/>
      <c r="AX165" s="5"/>
      <c r="AY165" s="5"/>
      <c r="AZ165" s="5"/>
      <c r="BA165" s="5"/>
      <c r="BB165" s="6"/>
      <c r="BC165" s="6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</row>
    <row r="166" spans="49:74">
      <c r="AW166" s="5"/>
      <c r="AX166" s="5"/>
      <c r="AY166" s="5"/>
      <c r="AZ166" s="5"/>
      <c r="BA166" s="5"/>
      <c r="BB166" s="6"/>
      <c r="BC166" s="6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</row>
    <row r="167" spans="49:74">
      <c r="AW167" s="5"/>
      <c r="AX167" s="5"/>
      <c r="AY167" s="5"/>
      <c r="AZ167" s="5"/>
      <c r="BA167" s="5"/>
      <c r="BB167" s="6"/>
      <c r="BC167" s="6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</row>
    <row r="168" spans="49:74">
      <c r="AW168" s="5"/>
      <c r="AX168" s="5"/>
      <c r="AY168" s="5"/>
      <c r="AZ168" s="5"/>
      <c r="BA168" s="5"/>
      <c r="BB168" s="6"/>
      <c r="BC168" s="6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</row>
    <row r="169" spans="49:74">
      <c r="AW169" s="5"/>
      <c r="AX169" s="5"/>
      <c r="AY169" s="5"/>
      <c r="AZ169" s="5"/>
      <c r="BA169" s="5"/>
      <c r="BB169" s="6"/>
      <c r="BC169" s="6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</row>
    <row r="170" spans="49:74">
      <c r="AW170" s="5"/>
      <c r="AX170" s="5"/>
      <c r="AY170" s="5"/>
      <c r="AZ170" s="5"/>
      <c r="BA170" s="5"/>
      <c r="BB170" s="6"/>
      <c r="BC170" s="6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</row>
    <row r="171" spans="49:74">
      <c r="AW171" s="5"/>
      <c r="AX171" s="5"/>
      <c r="AY171" s="5"/>
      <c r="AZ171" s="5"/>
      <c r="BA171" s="5"/>
      <c r="BB171" s="6"/>
      <c r="BC171" s="6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</row>
    <row r="172" spans="49:74">
      <c r="AW172" s="5"/>
      <c r="AX172" s="5"/>
      <c r="AY172" s="5"/>
      <c r="AZ172" s="5"/>
      <c r="BA172" s="5"/>
      <c r="BB172" s="6"/>
      <c r="BC172" s="6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</row>
    <row r="173" spans="49:74">
      <c r="AW173" s="5"/>
      <c r="AX173" s="5"/>
      <c r="AY173" s="5"/>
      <c r="AZ173" s="5"/>
      <c r="BA173" s="5"/>
      <c r="BB173" s="6"/>
      <c r="BC173" s="6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</row>
    <row r="174" spans="49:74">
      <c r="AW174" s="5"/>
      <c r="AX174" s="5"/>
      <c r="AY174" s="5"/>
      <c r="AZ174" s="5"/>
      <c r="BA174" s="5"/>
      <c r="BB174" s="6"/>
      <c r="BC174" s="6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</row>
    <row r="175" spans="49:74">
      <c r="AW175" s="5"/>
      <c r="AX175" s="5"/>
      <c r="AY175" s="5"/>
      <c r="AZ175" s="5"/>
      <c r="BA175" s="5"/>
      <c r="BB175" s="6"/>
      <c r="BC175" s="6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</row>
    <row r="176" spans="49:74">
      <c r="AW176" s="5"/>
      <c r="AX176" s="5"/>
      <c r="AY176" s="5"/>
      <c r="AZ176" s="5"/>
      <c r="BA176" s="5"/>
      <c r="BB176" s="6"/>
      <c r="BC176" s="6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</row>
    <row r="177" spans="49:74">
      <c r="AW177" s="5"/>
      <c r="AX177" s="5"/>
      <c r="AY177" s="5"/>
      <c r="AZ177" s="5"/>
      <c r="BA177" s="5"/>
      <c r="BB177" s="6"/>
      <c r="BC177" s="6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</row>
    <row r="178" spans="49:74">
      <c r="AW178" s="5"/>
      <c r="AX178" s="5"/>
      <c r="AY178" s="5"/>
      <c r="AZ178" s="5"/>
      <c r="BA178" s="5"/>
      <c r="BB178" s="6"/>
      <c r="BC178" s="6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</row>
    <row r="179" spans="49:74">
      <c r="AW179" s="5"/>
      <c r="AX179" s="5"/>
      <c r="AY179" s="5"/>
      <c r="AZ179" s="5"/>
      <c r="BA179" s="5"/>
      <c r="BB179" s="6"/>
      <c r="BC179" s="6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</row>
    <row r="180" spans="49:74">
      <c r="AW180" s="5"/>
      <c r="AX180" s="5"/>
      <c r="AY180" s="5"/>
      <c r="AZ180" s="5"/>
      <c r="BA180" s="5"/>
      <c r="BB180" s="6"/>
      <c r="BC180" s="6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</row>
    <row r="181" spans="49:74">
      <c r="AW181" s="5"/>
      <c r="AX181" s="5"/>
      <c r="AY181" s="5"/>
      <c r="AZ181" s="5"/>
      <c r="BA181" s="5"/>
      <c r="BB181" s="6"/>
      <c r="BC181" s="6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</row>
    <row r="182" spans="49:74">
      <c r="AW182" s="5"/>
      <c r="AX182" s="5"/>
      <c r="AY182" s="5"/>
      <c r="AZ182" s="5"/>
      <c r="BA182" s="5"/>
      <c r="BB182" s="6"/>
      <c r="BC182" s="6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</row>
    <row r="183" spans="49:74">
      <c r="AW183" s="5"/>
      <c r="AX183" s="5"/>
      <c r="AY183" s="5"/>
      <c r="AZ183" s="5"/>
      <c r="BA183" s="5"/>
      <c r="BB183" s="6"/>
      <c r="BC183" s="6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</row>
    <row r="184" spans="49:74">
      <c r="AW184" s="5"/>
      <c r="AX184" s="5"/>
      <c r="AY184" s="5"/>
      <c r="AZ184" s="5"/>
      <c r="BA184" s="5"/>
      <c r="BB184" s="6"/>
      <c r="BC184" s="6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</row>
    <row r="185" spans="49:74">
      <c r="AW185" s="5"/>
      <c r="AX185" s="5"/>
      <c r="AY185" s="5"/>
      <c r="AZ185" s="5"/>
      <c r="BA185" s="5"/>
      <c r="BB185" s="6"/>
      <c r="BC185" s="6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</row>
    <row r="186" spans="49:74">
      <c r="AW186" s="5"/>
      <c r="AX186" s="5"/>
      <c r="AY186" s="5"/>
      <c r="AZ186" s="5"/>
      <c r="BA186" s="5"/>
      <c r="BB186" s="6"/>
      <c r="BC186" s="6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</row>
    <row r="187" spans="49:74">
      <c r="AW187" s="5"/>
      <c r="AX187" s="5"/>
      <c r="AY187" s="5"/>
      <c r="AZ187" s="5"/>
      <c r="BA187" s="5"/>
      <c r="BB187" s="6"/>
      <c r="BC187" s="6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</row>
    <row r="188" spans="49:74">
      <c r="AW188" s="5"/>
      <c r="AX188" s="5"/>
      <c r="AY188" s="5"/>
      <c r="AZ188" s="5"/>
      <c r="BA188" s="5"/>
      <c r="BB188" s="6"/>
      <c r="BC188" s="6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</row>
    <row r="189" spans="49:74">
      <c r="AW189" s="5"/>
      <c r="AX189" s="5"/>
      <c r="AY189" s="5"/>
      <c r="AZ189" s="5"/>
      <c r="BA189" s="5"/>
      <c r="BB189" s="6"/>
      <c r="BC189" s="6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</row>
    <row r="190" spans="49:74">
      <c r="AW190" s="5"/>
      <c r="AX190" s="5"/>
      <c r="AY190" s="5"/>
      <c r="AZ190" s="5"/>
      <c r="BA190" s="5"/>
      <c r="BB190" s="6"/>
      <c r="BC190" s="6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</row>
    <row r="191" spans="49:74">
      <c r="AW191" s="5"/>
      <c r="AX191" s="5"/>
      <c r="AY191" s="5"/>
      <c r="AZ191" s="5"/>
      <c r="BA191" s="5"/>
      <c r="BB191" s="6"/>
      <c r="BC191" s="6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</row>
    <row r="192" spans="49:74">
      <c r="AW192" s="5"/>
      <c r="AX192" s="5"/>
      <c r="AY192" s="5"/>
      <c r="AZ192" s="5"/>
      <c r="BA192" s="5"/>
      <c r="BB192" s="6"/>
      <c r="BC192" s="6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</row>
    <row r="193" spans="49:74">
      <c r="AW193" s="5"/>
      <c r="AX193" s="5"/>
      <c r="AY193" s="5"/>
      <c r="AZ193" s="5"/>
      <c r="BA193" s="5"/>
      <c r="BB193" s="6"/>
      <c r="BC193" s="6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</row>
    <row r="194" spans="49:74">
      <c r="AW194" s="5"/>
      <c r="AX194" s="5"/>
      <c r="AY194" s="5"/>
      <c r="AZ194" s="5"/>
      <c r="BA194" s="5"/>
      <c r="BB194" s="6"/>
      <c r="BC194" s="6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</row>
    <row r="195" spans="49:74">
      <c r="AW195" s="5"/>
      <c r="AX195" s="5"/>
      <c r="AY195" s="5"/>
      <c r="AZ195" s="5"/>
      <c r="BA195" s="5"/>
      <c r="BB195" s="6"/>
      <c r="BC195" s="6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 spans="49:74">
      <c r="AW196" s="5"/>
      <c r="AX196" s="5"/>
      <c r="AY196" s="5"/>
      <c r="AZ196" s="5"/>
      <c r="BA196" s="5"/>
      <c r="BB196" s="6"/>
      <c r="BC196" s="6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</row>
    <row r="197" spans="49:74">
      <c r="AW197" s="5"/>
      <c r="AX197" s="5"/>
      <c r="AY197" s="5"/>
      <c r="AZ197" s="5"/>
      <c r="BA197" s="5"/>
      <c r="BB197" s="6"/>
      <c r="BC197" s="6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</row>
  </sheetData>
  <mergeCells count="2">
    <mergeCell ref="A2:J2"/>
    <mergeCell ref="A1:J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I198"/>
  <sheetViews>
    <sheetView tabSelected="1" workbookViewId="0">
      <selection activeCell="B7" sqref="B7"/>
    </sheetView>
  </sheetViews>
  <sheetFormatPr defaultRowHeight="13.8"/>
  <cols>
    <col min="1" max="1" width="21.296875" bestFit="1" customWidth="1"/>
    <col min="2" max="2" width="57" bestFit="1" customWidth="1"/>
    <col min="3" max="3" width="19.296875" bestFit="1" customWidth="1"/>
    <col min="4" max="4" width="45.796875" bestFit="1" customWidth="1"/>
    <col min="5" max="5" width="12" bestFit="1" customWidth="1"/>
    <col min="6" max="6" width="8.296875" bestFit="1" customWidth="1"/>
    <col min="7" max="7" width="17.8984375" bestFit="1" customWidth="1"/>
    <col min="8" max="8" width="14.59765625" bestFit="1" customWidth="1"/>
    <col min="9" max="9" width="22.3984375" bestFit="1" customWidth="1"/>
    <col min="10" max="10" width="21.296875" bestFit="1" customWidth="1"/>
    <col min="11" max="11" width="20.59765625" customWidth="1"/>
    <col min="12" max="12" width="21.59765625" bestFit="1" customWidth="1"/>
    <col min="13" max="13" width="20.5" bestFit="1" customWidth="1"/>
    <col min="14" max="14" width="80.796875" bestFit="1" customWidth="1"/>
    <col min="15" max="15" width="53.3984375" bestFit="1" customWidth="1"/>
    <col min="16" max="16" width="18.8984375" bestFit="1" customWidth="1"/>
    <col min="17" max="17" width="22.296875" bestFit="1" customWidth="1"/>
    <col min="18" max="18" width="24.296875" bestFit="1" customWidth="1"/>
    <col min="19" max="19" width="26.296875" bestFit="1" customWidth="1"/>
    <col min="20" max="20" width="26.69921875" bestFit="1" customWidth="1"/>
    <col min="21" max="21" width="80.796875" bestFit="1" customWidth="1"/>
    <col min="22" max="22" width="17" bestFit="1" customWidth="1"/>
    <col min="23" max="23" width="17.8984375" bestFit="1" customWidth="1"/>
    <col min="24" max="24" width="15.59765625" bestFit="1" customWidth="1"/>
    <col min="25" max="25" width="13.09765625" bestFit="1" customWidth="1"/>
    <col min="26" max="26" width="16.8984375" bestFit="1" customWidth="1"/>
    <col min="27" max="27" width="45.796875" bestFit="1" customWidth="1"/>
    <col min="28" max="28" width="19.59765625" bestFit="1" customWidth="1"/>
    <col min="29" max="29" width="18.796875" bestFit="1" customWidth="1"/>
    <col min="30" max="30" width="21.296875" bestFit="1" customWidth="1"/>
    <col min="31" max="31" width="20.5" bestFit="1" customWidth="1"/>
    <col min="32" max="32" width="17.796875" bestFit="1" customWidth="1"/>
    <col min="33" max="33" width="21.19921875" bestFit="1" customWidth="1"/>
    <col min="34" max="34" width="23.19921875" bestFit="1" customWidth="1"/>
    <col min="35" max="35" width="25.19921875" bestFit="1" customWidth="1"/>
    <col min="36" max="36" width="25.59765625" bestFit="1" customWidth="1"/>
    <col min="37" max="37" width="53.3984375" bestFit="1" customWidth="1"/>
    <col min="38" max="38" width="45.796875" bestFit="1" customWidth="1"/>
    <col min="39" max="39" width="27.09765625" bestFit="1" customWidth="1"/>
    <col min="40" max="40" width="45.796875" bestFit="1" customWidth="1"/>
    <col min="41" max="41" width="14.09765625" bestFit="1" customWidth="1"/>
    <col min="42" max="42" width="15.296875" bestFit="1" customWidth="1"/>
    <col min="43" max="43" width="21" bestFit="1" customWidth="1"/>
    <col min="44" max="45" width="15" bestFit="1" customWidth="1"/>
    <col min="46" max="46" width="16.5" bestFit="1" customWidth="1"/>
    <col min="47" max="47" width="44.09765625" bestFit="1" customWidth="1"/>
    <col min="48" max="48" width="17.8984375" bestFit="1" customWidth="1"/>
    <col min="49" max="49" width="23" bestFit="1" customWidth="1"/>
    <col min="50" max="50" width="22.3984375" bestFit="1" customWidth="1"/>
    <col min="51" max="51" width="14.296875" bestFit="1" customWidth="1"/>
    <col min="52" max="52" width="8.296875" bestFit="1" customWidth="1"/>
    <col min="53" max="53" width="16.3984375" bestFit="1" customWidth="1"/>
    <col min="54" max="55" width="56.5" bestFit="1" customWidth="1"/>
    <col min="56" max="56" width="11.69921875" bestFit="1" customWidth="1"/>
    <col min="57" max="57" width="15.796875" bestFit="1" customWidth="1"/>
    <col min="58" max="58" width="15.19921875" bestFit="1" customWidth="1"/>
    <col min="59" max="59" width="15" bestFit="1" customWidth="1"/>
    <col min="60" max="60" width="62.69921875" bestFit="1" customWidth="1"/>
    <col min="61" max="61" width="15.296875" bestFit="1" customWidth="1"/>
    <col min="62" max="62" width="48" customWidth="1"/>
    <col min="63" max="64" width="16" customWidth="1"/>
    <col min="65" max="68" width="18" customWidth="1"/>
    <col min="69" max="69" width="42" customWidth="1"/>
  </cols>
  <sheetData>
    <row r="1" spans="1:83" ht="27.15" customHeight="1">
      <c r="A1" s="29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6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83" ht="22.35" customHeight="1">
      <c r="A2" s="30" t="s">
        <v>40</v>
      </c>
      <c r="B2" s="30"/>
      <c r="C2" s="30"/>
      <c r="D2" s="30"/>
      <c r="E2" s="30"/>
      <c r="F2" s="30"/>
      <c r="G2" s="30"/>
      <c r="H2" s="30"/>
      <c r="I2" s="30"/>
      <c r="J2" s="30"/>
      <c r="K2" s="23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</row>
    <row r="3" spans="1:83" ht="13.8" customHeight="1">
      <c r="A3" s="60" t="s">
        <v>41</v>
      </c>
      <c r="B3" s="60"/>
      <c r="C3" s="60"/>
      <c r="D3" s="60"/>
      <c r="E3" s="60"/>
      <c r="F3" s="60"/>
      <c r="G3" s="60"/>
      <c r="H3" s="60"/>
      <c r="I3" s="60"/>
      <c r="J3" s="60"/>
      <c r="K3" s="28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</row>
    <row r="4" spans="1:83">
      <c r="A4" t="s">
        <v>99</v>
      </c>
      <c r="B4" t="s">
        <v>100</v>
      </c>
      <c r="C4" t="s">
        <v>110</v>
      </c>
      <c r="D4" t="s">
        <v>98</v>
      </c>
      <c r="E4" t="s">
        <v>105</v>
      </c>
      <c r="F4" t="s">
        <v>106</v>
      </c>
      <c r="G4" t="s">
        <v>107</v>
      </c>
      <c r="H4" t="s">
        <v>108</v>
      </c>
      <c r="I4" t="s">
        <v>91</v>
      </c>
      <c r="J4" t="s">
        <v>77</v>
      </c>
      <c r="K4" t="s">
        <v>109</v>
      </c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83"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83"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83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83"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83">
      <c r="L9" s="6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83"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83"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83">
      <c r="L12" s="6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83">
      <c r="L13" s="6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83"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83"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83">
      <c r="L16" s="6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2:49"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2:49"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2:49"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2:49"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2:49"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2:49">
      <c r="L22" s="6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2:49"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2:49"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2:49"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2:49">
      <c r="X26" s="5"/>
      <c r="Y26" s="6"/>
      <c r="Z26" s="6"/>
      <c r="AA26" s="6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2:49">
      <c r="X27" s="5"/>
      <c r="Y27" s="6"/>
      <c r="Z27" s="6"/>
      <c r="AA27" s="6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2:49">
      <c r="X28" s="5"/>
      <c r="Y28" s="6"/>
      <c r="Z28" s="6"/>
      <c r="AA28" s="6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2:49">
      <c r="X29" s="5"/>
      <c r="Y29" s="6"/>
      <c r="Z29" s="6"/>
      <c r="AA29" s="6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2:49">
      <c r="X30" s="5"/>
      <c r="Y30" s="6"/>
      <c r="Z30" s="6"/>
      <c r="AA30" s="6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2:49">
      <c r="X31" s="5"/>
      <c r="Y31" s="6"/>
      <c r="Z31" s="6"/>
      <c r="AA31" s="6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2:49">
      <c r="X32" s="5"/>
      <c r="Y32" s="6"/>
      <c r="Z32" s="6"/>
      <c r="AA32" s="6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24:49">
      <c r="X33" s="5"/>
      <c r="Y33" s="6"/>
      <c r="Z33" s="6"/>
      <c r="AA33" s="6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24:49">
      <c r="X34" s="5"/>
      <c r="Y34" s="6"/>
      <c r="Z34" s="6"/>
      <c r="AA34" s="6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24:49">
      <c r="X35" s="5"/>
      <c r="Y35" s="6"/>
      <c r="Z35" s="6"/>
      <c r="AA35" s="6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24:49">
      <c r="X36" s="5"/>
      <c r="Y36" s="6"/>
      <c r="Z36" s="6"/>
      <c r="AA36" s="6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24:49">
      <c r="X37" s="5"/>
      <c r="Y37" s="6"/>
      <c r="Z37" s="6"/>
      <c r="AA37" s="6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24:49">
      <c r="X38" s="5"/>
      <c r="Y38" s="6"/>
      <c r="Z38" s="6"/>
      <c r="AA38" s="6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24:49">
      <c r="X39" s="5"/>
      <c r="Y39" s="6"/>
      <c r="Z39" s="6"/>
      <c r="AA39" s="6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24:49">
      <c r="X40" s="5"/>
      <c r="Y40" s="6"/>
      <c r="Z40" s="6"/>
      <c r="AA40" s="6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24:49">
      <c r="X41" s="5"/>
      <c r="Y41" s="6"/>
      <c r="Z41" s="6"/>
      <c r="AA41" s="6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24:49">
      <c r="X42" s="5"/>
      <c r="Y42" s="6"/>
      <c r="Z42" s="6"/>
      <c r="AA42" s="6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24:49">
      <c r="X43" s="5"/>
      <c r="Y43" s="6"/>
      <c r="Z43" s="6"/>
      <c r="AA43" s="6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24:49">
      <c r="X44" s="5"/>
      <c r="Y44" s="6"/>
      <c r="Z44" s="6"/>
      <c r="AA44" s="6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24:49">
      <c r="X45" s="5"/>
      <c r="Y45" s="6"/>
      <c r="Z45" s="6"/>
      <c r="AA45" s="6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24:49">
      <c r="X46" s="5"/>
      <c r="Y46" s="6"/>
      <c r="Z46" s="6"/>
      <c r="AA46" s="6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24:49">
      <c r="X47" s="5"/>
      <c r="Y47" s="6"/>
      <c r="Z47" s="6"/>
      <c r="AA47" s="6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24:49">
      <c r="X48" s="5"/>
      <c r="Y48" s="6"/>
      <c r="Z48" s="6"/>
      <c r="AA48" s="6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24:49">
      <c r="X49" s="5"/>
      <c r="Y49" s="6"/>
      <c r="Z49" s="6"/>
      <c r="AA49" s="6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24:49">
      <c r="X50" s="5"/>
      <c r="Y50" s="6"/>
      <c r="Z50" s="6"/>
      <c r="AA50" s="6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24:49">
      <c r="X51" s="5"/>
      <c r="Y51" s="6"/>
      <c r="Z51" s="6"/>
      <c r="AA51" s="6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24:49">
      <c r="X52" s="5"/>
      <c r="Y52" s="6"/>
      <c r="Z52" s="6"/>
      <c r="AA52" s="6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24:49">
      <c r="X53" s="5"/>
      <c r="Y53" s="6"/>
      <c r="Z53" s="6"/>
      <c r="AA53" s="6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24:49">
      <c r="X54" s="5"/>
      <c r="Y54" s="6"/>
      <c r="Z54" s="6"/>
      <c r="AA54" s="6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24:49">
      <c r="X55" s="5"/>
      <c r="Y55" s="6"/>
      <c r="Z55" s="6"/>
      <c r="AA55" s="6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24:49">
      <c r="X56" s="5"/>
      <c r="Y56" s="6"/>
      <c r="Z56" s="6"/>
      <c r="AA56" s="6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24:49">
      <c r="X57" s="5"/>
      <c r="Y57" s="6"/>
      <c r="Z57" s="6"/>
      <c r="AA57" s="6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24:49">
      <c r="X58" s="5"/>
      <c r="Y58" s="6"/>
      <c r="Z58" s="6"/>
      <c r="AA58" s="6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24:49">
      <c r="X59" s="5"/>
      <c r="Y59" s="6"/>
      <c r="Z59" s="6"/>
      <c r="AA59" s="6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24:49">
      <c r="X60" s="5"/>
      <c r="Y60" s="6"/>
      <c r="Z60" s="6"/>
      <c r="AA60" s="6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24:49">
      <c r="X61" s="5"/>
      <c r="Y61" s="6"/>
      <c r="Z61" s="6"/>
      <c r="AA61" s="6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24:49">
      <c r="X62" s="5"/>
      <c r="Y62" s="6"/>
      <c r="Z62" s="6"/>
      <c r="AA62" s="6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24:49">
      <c r="X63" s="5"/>
      <c r="Y63" s="6"/>
      <c r="Z63" s="6"/>
      <c r="AA63" s="6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24:49">
      <c r="X64" s="5"/>
      <c r="Y64" s="6"/>
      <c r="Z64" s="6"/>
      <c r="AA64" s="6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24:49">
      <c r="X65" s="5"/>
      <c r="Y65" s="6"/>
      <c r="Z65" s="6"/>
      <c r="AA65" s="6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24:49">
      <c r="X66" s="5"/>
      <c r="Y66" s="6"/>
      <c r="Z66" s="6"/>
      <c r="AA66" s="6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24:49">
      <c r="X67" s="5"/>
      <c r="Y67" s="6"/>
      <c r="Z67" s="6"/>
      <c r="AA67" s="6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24:49">
      <c r="X68" s="5"/>
      <c r="Y68" s="6"/>
      <c r="Z68" s="6"/>
      <c r="AA68" s="6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24:49">
      <c r="X69" s="5"/>
      <c r="Y69" s="6"/>
      <c r="Z69" s="6"/>
      <c r="AA69" s="6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24:49">
      <c r="X70" s="5"/>
      <c r="Y70" s="6"/>
      <c r="Z70" s="6"/>
      <c r="AA70" s="6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24:49">
      <c r="X71" s="5"/>
      <c r="Y71" s="6"/>
      <c r="Z71" s="6"/>
      <c r="AA71" s="6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24:49">
      <c r="X72" s="5"/>
      <c r="Y72" s="6"/>
      <c r="Z72" s="6"/>
      <c r="AA72" s="6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24:49">
      <c r="X73" s="5"/>
      <c r="Y73" s="6"/>
      <c r="Z73" s="6"/>
      <c r="AA73" s="6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24:49">
      <c r="X74" s="5"/>
      <c r="Y74" s="6"/>
      <c r="Z74" s="6"/>
      <c r="AA74" s="6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24:49">
      <c r="X75" s="5"/>
      <c r="Y75" s="6"/>
      <c r="Z75" s="6"/>
      <c r="AA75" s="6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24:49">
      <c r="X76" s="5"/>
      <c r="Y76" s="6"/>
      <c r="Z76" s="6"/>
      <c r="AA76" s="6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24:49">
      <c r="X77" s="5"/>
      <c r="Y77" s="6"/>
      <c r="Z77" s="6"/>
      <c r="AA77" s="6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24:49">
      <c r="X78" s="5"/>
      <c r="Y78" s="6"/>
      <c r="Z78" s="6"/>
      <c r="AA78" s="6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24:49">
      <c r="X79" s="5"/>
      <c r="Y79" s="6"/>
      <c r="Z79" s="6"/>
      <c r="AA79" s="6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24:49">
      <c r="X80" s="5"/>
      <c r="Y80" s="6"/>
      <c r="Z80" s="6"/>
      <c r="AA80" s="6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24:57">
      <c r="X81" s="5"/>
      <c r="Y81" s="6"/>
      <c r="Z81" s="6"/>
      <c r="AA81" s="6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24:57">
      <c r="X82" s="5"/>
      <c r="Y82" s="6"/>
      <c r="Z82" s="6"/>
      <c r="AA82" s="6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24:57">
      <c r="X83" s="5"/>
      <c r="Y83" s="6"/>
      <c r="Z83" s="6"/>
      <c r="AA83" s="6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24:57">
      <c r="X84" s="5"/>
      <c r="Y84" s="6"/>
      <c r="Z84" s="6"/>
      <c r="AA84" s="6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24:57">
      <c r="X85" s="5"/>
      <c r="Y85" s="6"/>
      <c r="Z85" s="6"/>
      <c r="AA85" s="6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24:57">
      <c r="X86" s="5"/>
      <c r="Y86" s="6"/>
      <c r="Z86" s="6"/>
      <c r="AA86" s="6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24:57">
      <c r="X87" s="5"/>
      <c r="Y87" s="6"/>
      <c r="Z87" s="6"/>
      <c r="AA87" s="6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24:57">
      <c r="X88" s="5"/>
      <c r="Y88" s="6"/>
      <c r="Z88" s="6"/>
      <c r="AA88" s="6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24:57">
      <c r="X89" s="5"/>
      <c r="Y89" s="6"/>
      <c r="Z89" s="6"/>
      <c r="AA89" s="6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24:57">
      <c r="X90" s="5"/>
      <c r="Y90" s="6"/>
      <c r="Z90" s="6"/>
      <c r="AA90" s="6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24:57">
      <c r="X91" s="5"/>
      <c r="Y91" s="6"/>
      <c r="Z91" s="6"/>
      <c r="AA91" s="6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24:57">
      <c r="X92" s="5"/>
      <c r="Y92" s="6"/>
      <c r="Z92" s="6"/>
      <c r="AA92" s="6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24:57">
      <c r="X93" s="5"/>
      <c r="Y93" s="6"/>
      <c r="Z93" s="6"/>
      <c r="AA93" s="6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24:57">
      <c r="X94" s="5"/>
      <c r="Y94" s="6"/>
      <c r="Z94" s="6"/>
      <c r="AA94" s="6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24:57">
      <c r="X95" s="5"/>
      <c r="Y95" s="6"/>
      <c r="Z95" s="6"/>
      <c r="AA95" s="6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24:57">
      <c r="AF96" s="5"/>
      <c r="AG96" s="6"/>
      <c r="AH96" s="6"/>
      <c r="AI96" s="6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32:87">
      <c r="AF97" s="5"/>
      <c r="AG97" s="6"/>
      <c r="AH97" s="6"/>
      <c r="AI97" s="6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32:87">
      <c r="AF98" s="5"/>
      <c r="AG98" s="6"/>
      <c r="AH98" s="6"/>
      <c r="AI98" s="6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32:87">
      <c r="AF99" s="5"/>
      <c r="AG99" s="6"/>
      <c r="AH99" s="6"/>
      <c r="AI99" s="6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32:87">
      <c r="AF100" s="5"/>
      <c r="AG100" s="6"/>
      <c r="AH100" s="6"/>
      <c r="AI100" s="6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  <row r="101" spans="32:87">
      <c r="AF101" s="5"/>
      <c r="AG101" s="6"/>
      <c r="AH101" s="6"/>
      <c r="AI101" s="6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</row>
    <row r="102" spans="32:87">
      <c r="AF102" s="5"/>
      <c r="AG102" s="6"/>
      <c r="AH102" s="6"/>
      <c r="AI102" s="6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</row>
    <row r="103" spans="32:87">
      <c r="AF103" s="5"/>
      <c r="AG103" s="6"/>
      <c r="AH103" s="6"/>
      <c r="AI103" s="6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</row>
    <row r="104" spans="32:87">
      <c r="AF104" s="5"/>
      <c r="AG104" s="6"/>
      <c r="AH104" s="6"/>
      <c r="AI104" s="6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</row>
    <row r="105" spans="32:87">
      <c r="AF105" s="5"/>
      <c r="AG105" s="6"/>
      <c r="AH105" s="6"/>
      <c r="AI105" s="6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</row>
    <row r="106" spans="32:87">
      <c r="AF106" s="5"/>
      <c r="AG106" s="6"/>
      <c r="AH106" s="6"/>
      <c r="AI106" s="6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</row>
    <row r="107" spans="32:87">
      <c r="AF107" s="5"/>
      <c r="AG107" s="6"/>
      <c r="AH107" s="6"/>
      <c r="AI107" s="6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</row>
    <row r="108" spans="32:87">
      <c r="BJ108" s="5"/>
      <c r="BK108" s="6"/>
      <c r="BL108" s="6"/>
      <c r="BM108" s="6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</row>
    <row r="109" spans="32:87">
      <c r="BJ109" s="5"/>
      <c r="BK109" s="6"/>
      <c r="BL109" s="6"/>
      <c r="BM109" s="6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</row>
    <row r="110" spans="32:87">
      <c r="BJ110" s="5"/>
      <c r="BK110" s="6"/>
      <c r="BL110" s="6"/>
      <c r="BM110" s="6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</row>
    <row r="111" spans="32:87">
      <c r="BJ111" s="5"/>
      <c r="BK111" s="6"/>
      <c r="BL111" s="6"/>
      <c r="BM111" s="6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</row>
    <row r="112" spans="32:87">
      <c r="BJ112" s="5"/>
      <c r="BK112" s="6"/>
      <c r="BL112" s="6"/>
      <c r="BM112" s="6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</row>
    <row r="113" spans="62:87">
      <c r="BJ113" s="5"/>
      <c r="BK113" s="6"/>
      <c r="BL113" s="6"/>
      <c r="BM113" s="6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</row>
    <row r="114" spans="62:87">
      <c r="BJ114" s="5"/>
      <c r="BK114" s="6"/>
      <c r="BL114" s="6"/>
      <c r="BM114" s="6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</row>
    <row r="115" spans="62:87">
      <c r="BJ115" s="5"/>
      <c r="BK115" s="6"/>
      <c r="BL115" s="6"/>
      <c r="BM115" s="6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</row>
    <row r="116" spans="62:87">
      <c r="BJ116" s="5"/>
      <c r="BK116" s="6"/>
      <c r="BL116" s="6"/>
      <c r="BM116" s="6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</row>
    <row r="117" spans="62:87">
      <c r="BJ117" s="5"/>
      <c r="BK117" s="6"/>
      <c r="BL117" s="6"/>
      <c r="BM117" s="6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</row>
    <row r="118" spans="62:87">
      <c r="BJ118" s="5"/>
      <c r="BK118" s="6"/>
      <c r="BL118" s="6"/>
      <c r="BM118" s="6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</row>
    <row r="119" spans="62:87">
      <c r="BJ119" s="5"/>
      <c r="BK119" s="6"/>
      <c r="BL119" s="6"/>
      <c r="BM119" s="6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</row>
    <row r="120" spans="62:87">
      <c r="BJ120" s="5"/>
      <c r="BK120" s="6"/>
      <c r="BL120" s="6"/>
      <c r="BM120" s="6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</row>
    <row r="121" spans="62:87">
      <c r="BJ121" s="5"/>
      <c r="BK121" s="6"/>
      <c r="BL121" s="6"/>
      <c r="BM121" s="6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</row>
    <row r="122" spans="62:87">
      <c r="BJ122" s="5"/>
      <c r="BK122" s="6"/>
      <c r="BL122" s="6"/>
      <c r="BM122" s="6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</row>
    <row r="123" spans="62:87">
      <c r="BJ123" s="5"/>
      <c r="BK123" s="6"/>
      <c r="BL123" s="6"/>
      <c r="BM123" s="6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</row>
    <row r="124" spans="62:87">
      <c r="BJ124" s="5"/>
      <c r="BK124" s="6"/>
      <c r="BL124" s="6"/>
      <c r="BM124" s="6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</row>
    <row r="125" spans="62:87">
      <c r="BJ125" s="5"/>
      <c r="BK125" s="6"/>
      <c r="BL125" s="6"/>
      <c r="BM125" s="6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</row>
    <row r="126" spans="62:87">
      <c r="BJ126" s="5"/>
      <c r="BK126" s="6"/>
      <c r="BL126" s="6"/>
      <c r="BM126" s="6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</row>
    <row r="127" spans="62:87">
      <c r="BJ127" s="5"/>
      <c r="BK127" s="6"/>
      <c r="BL127" s="6"/>
      <c r="BM127" s="6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</row>
    <row r="128" spans="62:87">
      <c r="BJ128" s="5"/>
      <c r="BK128" s="6"/>
      <c r="BL128" s="6"/>
      <c r="BM128" s="6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</row>
    <row r="129" spans="62:87">
      <c r="BJ129" s="5"/>
      <c r="BK129" s="6"/>
      <c r="BL129" s="6"/>
      <c r="BM129" s="6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</row>
    <row r="130" spans="62:87">
      <c r="BJ130" s="5"/>
      <c r="BK130" s="6"/>
      <c r="BL130" s="6"/>
      <c r="BM130" s="6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</row>
    <row r="131" spans="62:87">
      <c r="BJ131" s="5"/>
      <c r="BK131" s="6"/>
      <c r="BL131" s="6"/>
      <c r="BM131" s="6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</row>
    <row r="132" spans="62:87">
      <c r="BJ132" s="5"/>
      <c r="BK132" s="6"/>
      <c r="BL132" s="6"/>
      <c r="BM132" s="6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</row>
    <row r="133" spans="62:87">
      <c r="BJ133" s="5"/>
      <c r="BK133" s="6"/>
      <c r="BL133" s="6"/>
      <c r="BM133" s="6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</row>
    <row r="134" spans="62:87">
      <c r="BJ134" s="5"/>
      <c r="BK134" s="6"/>
      <c r="BL134" s="6"/>
      <c r="BM134" s="6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</row>
    <row r="135" spans="62:87">
      <c r="BJ135" s="5"/>
      <c r="BK135" s="6"/>
      <c r="BL135" s="6"/>
      <c r="BM135" s="6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</row>
    <row r="136" spans="62:87">
      <c r="BJ136" s="5"/>
      <c r="BK136" s="6"/>
      <c r="BL136" s="6"/>
      <c r="BM136" s="6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</row>
    <row r="137" spans="62:87">
      <c r="BJ137" s="5"/>
      <c r="BK137" s="6"/>
      <c r="BL137" s="6"/>
      <c r="BM137" s="6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</row>
    <row r="138" spans="62:87">
      <c r="BJ138" s="5"/>
      <c r="BK138" s="6"/>
      <c r="BL138" s="6"/>
      <c r="BM138" s="6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</row>
    <row r="139" spans="62:87">
      <c r="BJ139" s="5"/>
      <c r="BK139" s="6"/>
      <c r="BL139" s="6"/>
      <c r="BM139" s="6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</row>
    <row r="140" spans="62:87">
      <c r="BJ140" s="5"/>
      <c r="BK140" s="6"/>
      <c r="BL140" s="6"/>
      <c r="BM140" s="6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</row>
    <row r="141" spans="62:87">
      <c r="BJ141" s="5"/>
      <c r="BK141" s="6"/>
      <c r="BL141" s="6"/>
      <c r="BM141" s="6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</row>
    <row r="142" spans="62:87">
      <c r="BJ142" s="5"/>
      <c r="BK142" s="6"/>
      <c r="BL142" s="6"/>
      <c r="BM142" s="6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</row>
    <row r="143" spans="62:87">
      <c r="BJ143" s="5"/>
      <c r="BK143" s="6"/>
      <c r="BL143" s="6"/>
      <c r="BM143" s="6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</row>
    <row r="144" spans="62:87">
      <c r="BJ144" s="5"/>
      <c r="BK144" s="6"/>
      <c r="BL144" s="6"/>
      <c r="BM144" s="6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</row>
    <row r="145" spans="62:87">
      <c r="BJ145" s="5"/>
      <c r="BK145" s="6"/>
      <c r="BL145" s="6"/>
      <c r="BM145" s="6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</row>
    <row r="146" spans="62:87">
      <c r="BJ146" s="5"/>
      <c r="BK146" s="6"/>
      <c r="BL146" s="6"/>
      <c r="BM146" s="6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</row>
    <row r="147" spans="62:87">
      <c r="BJ147" s="5"/>
      <c r="BK147" s="6"/>
      <c r="BL147" s="6"/>
      <c r="BM147" s="6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</row>
    <row r="148" spans="62:87">
      <c r="BJ148" s="5"/>
      <c r="BK148" s="6"/>
      <c r="BL148" s="6"/>
      <c r="BM148" s="6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</row>
    <row r="149" spans="62:87">
      <c r="BJ149" s="5"/>
      <c r="BK149" s="6"/>
      <c r="BL149" s="6"/>
      <c r="BM149" s="6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</row>
    <row r="150" spans="62:87">
      <c r="BJ150" s="5"/>
      <c r="BK150" s="6"/>
      <c r="BL150" s="6"/>
      <c r="BM150" s="6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</row>
    <row r="151" spans="62:87">
      <c r="BJ151" s="5"/>
      <c r="BK151" s="6"/>
      <c r="BL151" s="6"/>
      <c r="BM151" s="6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</row>
    <row r="152" spans="62:87">
      <c r="BJ152" s="5"/>
      <c r="BK152" s="6"/>
      <c r="BL152" s="6"/>
      <c r="BM152" s="6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</row>
    <row r="153" spans="62:87">
      <c r="BJ153" s="5"/>
      <c r="BK153" s="6"/>
      <c r="BL153" s="6"/>
      <c r="BM153" s="6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</row>
    <row r="154" spans="62:87">
      <c r="BJ154" s="5"/>
      <c r="BK154" s="6"/>
      <c r="BL154" s="6"/>
      <c r="BM154" s="6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</row>
    <row r="155" spans="62:87">
      <c r="BJ155" s="5"/>
      <c r="BK155" s="6"/>
      <c r="BL155" s="6"/>
      <c r="BM155" s="6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</row>
    <row r="156" spans="62:87">
      <c r="BJ156" s="5"/>
      <c r="BK156" s="6"/>
      <c r="BL156" s="6"/>
      <c r="BM156" s="6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</row>
    <row r="157" spans="62:87">
      <c r="BJ157" s="5"/>
      <c r="BK157" s="6"/>
      <c r="BL157" s="6"/>
      <c r="BM157" s="6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</row>
    <row r="158" spans="62:87">
      <c r="BJ158" s="5"/>
      <c r="BK158" s="6"/>
      <c r="BL158" s="6"/>
      <c r="BM158" s="6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</row>
    <row r="159" spans="62:87">
      <c r="BJ159" s="5"/>
      <c r="BK159" s="6"/>
      <c r="BL159" s="6"/>
      <c r="BM159" s="6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</row>
    <row r="160" spans="62:87">
      <c r="BJ160" s="5"/>
      <c r="BK160" s="6"/>
      <c r="BL160" s="6"/>
      <c r="BM160" s="6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</row>
    <row r="161" spans="62:87">
      <c r="BJ161" s="5"/>
      <c r="BK161" s="6"/>
      <c r="BL161" s="6"/>
      <c r="BM161" s="6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</row>
    <row r="162" spans="62:87">
      <c r="BJ162" s="5"/>
      <c r="BK162" s="6"/>
      <c r="BL162" s="6"/>
      <c r="BM162" s="6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</row>
    <row r="163" spans="62:87">
      <c r="BJ163" s="5"/>
      <c r="BK163" s="6"/>
      <c r="BL163" s="6"/>
      <c r="BM163" s="6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</row>
    <row r="164" spans="62:87">
      <c r="BJ164" s="5"/>
      <c r="BK164" s="6"/>
      <c r="BL164" s="6"/>
      <c r="BM164" s="6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</row>
    <row r="165" spans="62:87">
      <c r="BJ165" s="5"/>
      <c r="BK165" s="6"/>
      <c r="BL165" s="6"/>
      <c r="BM165" s="6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</row>
    <row r="166" spans="62:87">
      <c r="BJ166" s="5"/>
      <c r="BK166" s="6"/>
      <c r="BL166" s="6"/>
      <c r="BM166" s="6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</row>
    <row r="167" spans="62:87">
      <c r="BJ167" s="5"/>
      <c r="BK167" s="6"/>
      <c r="BL167" s="6"/>
      <c r="BM167" s="6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</row>
    <row r="168" spans="62:87">
      <c r="BJ168" s="5"/>
      <c r="BK168" s="6"/>
      <c r="BL168" s="6"/>
      <c r="BM168" s="6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</row>
    <row r="169" spans="62:87">
      <c r="BJ169" s="5"/>
      <c r="BK169" s="6"/>
      <c r="BL169" s="6"/>
      <c r="BM169" s="6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</row>
    <row r="170" spans="62:87">
      <c r="BJ170" s="5"/>
      <c r="BK170" s="6"/>
      <c r="BL170" s="6"/>
      <c r="BM170" s="6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</row>
    <row r="171" spans="62:87">
      <c r="BJ171" s="5"/>
      <c r="BK171" s="6"/>
      <c r="BL171" s="6"/>
      <c r="BM171" s="6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</row>
    <row r="172" spans="62:87">
      <c r="BJ172" s="5"/>
      <c r="BK172" s="6"/>
      <c r="BL172" s="6"/>
      <c r="BM172" s="6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</row>
    <row r="173" spans="62:87">
      <c r="BJ173" s="5"/>
      <c r="BK173" s="6"/>
      <c r="BL173" s="6"/>
      <c r="BM173" s="6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</row>
    <row r="174" spans="62:87">
      <c r="BJ174" s="5"/>
      <c r="BK174" s="6"/>
      <c r="BL174" s="6"/>
      <c r="BM174" s="6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</row>
    <row r="175" spans="62:87">
      <c r="BJ175" s="5"/>
      <c r="BK175" s="6"/>
      <c r="BL175" s="6"/>
      <c r="BM175" s="6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</row>
    <row r="176" spans="62:87">
      <c r="BJ176" s="5"/>
      <c r="BK176" s="6"/>
      <c r="BL176" s="6"/>
      <c r="BM176" s="6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</row>
    <row r="177" spans="62:87">
      <c r="BJ177" s="5"/>
      <c r="BK177" s="6"/>
      <c r="BL177" s="6"/>
      <c r="BM177" s="6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</row>
    <row r="178" spans="62:87">
      <c r="BJ178" s="5"/>
      <c r="BK178" s="6"/>
      <c r="BL178" s="6"/>
      <c r="BM178" s="6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</row>
    <row r="179" spans="62:87">
      <c r="BJ179" s="5"/>
      <c r="BK179" s="6"/>
      <c r="BL179" s="6"/>
      <c r="BM179" s="6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</row>
    <row r="180" spans="62:87">
      <c r="BJ180" s="5"/>
      <c r="BK180" s="6"/>
      <c r="BL180" s="6"/>
      <c r="BM180" s="6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</row>
    <row r="181" spans="62:87">
      <c r="BJ181" s="5"/>
      <c r="BK181" s="6"/>
      <c r="BL181" s="6"/>
      <c r="BM181" s="6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</row>
    <row r="182" spans="62:87">
      <c r="BJ182" s="5"/>
      <c r="BK182" s="6"/>
      <c r="BL182" s="6"/>
      <c r="BM182" s="6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</row>
    <row r="183" spans="62:87">
      <c r="BJ183" s="5"/>
      <c r="BK183" s="6"/>
      <c r="BL183" s="6"/>
      <c r="BM183" s="6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</row>
    <row r="184" spans="62:87">
      <c r="BJ184" s="5"/>
      <c r="BK184" s="6"/>
      <c r="BL184" s="6"/>
      <c r="BM184" s="6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</row>
    <row r="185" spans="62:87">
      <c r="BJ185" s="5"/>
      <c r="BK185" s="6"/>
      <c r="BL185" s="6"/>
      <c r="BM185" s="6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</row>
    <row r="186" spans="62:87">
      <c r="BJ186" s="5"/>
      <c r="BK186" s="6"/>
      <c r="BL186" s="6"/>
      <c r="BM186" s="6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</row>
    <row r="187" spans="62:87">
      <c r="BJ187" s="5"/>
      <c r="BK187" s="6"/>
      <c r="BL187" s="6"/>
      <c r="BM187" s="6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</row>
    <row r="188" spans="62:87">
      <c r="BJ188" s="5"/>
      <c r="BK188" s="6"/>
      <c r="BL188" s="6"/>
      <c r="BM188" s="6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</row>
    <row r="189" spans="62:87">
      <c r="BJ189" s="5"/>
      <c r="BK189" s="6"/>
      <c r="BL189" s="6"/>
      <c r="BM189" s="6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</row>
    <row r="190" spans="62:87">
      <c r="BJ190" s="5"/>
      <c r="BK190" s="6"/>
      <c r="BL190" s="6"/>
      <c r="BM190" s="6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</row>
    <row r="191" spans="62:87">
      <c r="BJ191" s="5"/>
      <c r="BK191" s="6"/>
      <c r="BL191" s="6"/>
      <c r="BM191" s="6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</row>
    <row r="192" spans="62:87">
      <c r="BJ192" s="5"/>
      <c r="BK192" s="6"/>
      <c r="BL192" s="6"/>
      <c r="BM192" s="6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</row>
    <row r="193" spans="62:87">
      <c r="BJ193" s="5"/>
      <c r="BK193" s="6"/>
      <c r="BL193" s="6"/>
      <c r="BM193" s="6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</row>
    <row r="194" spans="62:87">
      <c r="BJ194" s="5"/>
      <c r="BK194" s="6"/>
      <c r="BL194" s="6"/>
      <c r="BM194" s="6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</row>
    <row r="195" spans="62:87">
      <c r="BJ195" s="5"/>
      <c r="BK195" s="6"/>
      <c r="BL195" s="6"/>
      <c r="BM195" s="6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</row>
    <row r="196" spans="62:87">
      <c r="BJ196" s="5"/>
      <c r="BK196" s="6"/>
      <c r="BL196" s="6"/>
      <c r="BM196" s="6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</row>
    <row r="197" spans="62:87">
      <c r="BJ197" s="5"/>
      <c r="BK197" s="6"/>
      <c r="BL197" s="6"/>
      <c r="BM197" s="6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</row>
    <row r="198" spans="62:87">
      <c r="BJ198" s="5"/>
      <c r="BK198" s="6"/>
      <c r="BL198" s="6"/>
      <c r="BM198" s="6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</row>
  </sheetData>
  <mergeCells count="3">
    <mergeCell ref="A1:J1"/>
    <mergeCell ref="A2:J2"/>
    <mergeCell ref="A3:J3"/>
  </mergeCells>
  <phoneticPr fontId="9" type="noConversion"/>
  <conditionalFormatting sqref="O4 P8:P25 AD26:AD95 AL96:AL107 BP108:BP198">
    <cfRule type="expression" dxfId="3" priority="1">
      <formula>O4="OK"</formula>
    </cfRule>
    <cfRule type="expression" dxfId="2" priority="2">
      <formula>O4="DIVERGÊNCIA"</formula>
    </cfRule>
    <cfRule type="expression" dxfId="1" priority="3">
      <formula>O4="REVISAR"</formula>
    </cfRule>
    <cfRule type="expression" dxfId="0" priority="4">
      <formula>O4="NÃO LOCALIZADO"</formula>
    </cfRule>
  </conditionalFormatting>
  <dataValidations count="1">
    <dataValidation type="list" sqref="AD26:AD95 O4 P8:P25 AL96:AL107 BP108:BP112 BP113:BP198" xr:uid="{00000000-0002-0000-0600-000000000000}">
      <formula1>"OK,DIVERGÊNCIA,NÃO LOCALIZADO,REVISAR"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197"/>
  <sheetViews>
    <sheetView topLeftCell="H1" workbookViewId="0">
      <selection activeCell="O24" sqref="O24"/>
    </sheetView>
  </sheetViews>
  <sheetFormatPr defaultRowHeight="13.8"/>
  <cols>
    <col min="1" max="1" width="17" bestFit="1" customWidth="1"/>
    <col min="2" max="2" width="17.8984375" bestFit="1" customWidth="1"/>
    <col min="3" max="3" width="15.59765625" bestFit="1" customWidth="1"/>
    <col min="4" max="4" width="13.09765625" bestFit="1" customWidth="1"/>
    <col min="5" max="5" width="16.8984375" bestFit="1" customWidth="1"/>
    <col min="6" max="6" width="45.796875" bestFit="1" customWidth="1"/>
    <col min="7" max="7" width="19.59765625" bestFit="1" customWidth="1"/>
    <col min="8" max="8" width="18.796875" bestFit="1" customWidth="1"/>
    <col min="9" max="9" width="21.296875" bestFit="1" customWidth="1"/>
    <col min="10" max="10" width="20.5" bestFit="1" customWidth="1"/>
    <col min="11" max="11" width="17.796875" bestFit="1" customWidth="1"/>
    <col min="12" max="12" width="21.19921875" bestFit="1" customWidth="1"/>
    <col min="13" max="13" width="23.19921875" bestFit="1" customWidth="1"/>
    <col min="14" max="14" width="25.19921875" bestFit="1" customWidth="1"/>
    <col min="15" max="15" width="25.59765625" bestFit="1" customWidth="1"/>
    <col min="16" max="16" width="53.3984375" bestFit="1" customWidth="1"/>
    <col min="17" max="17" width="17.8984375" bestFit="1" customWidth="1"/>
    <col min="18" max="18" width="35.69921875" bestFit="1" customWidth="1"/>
    <col min="19" max="19" width="22.3984375" bestFit="1" customWidth="1"/>
    <col min="20" max="20" width="14.296875" bestFit="1" customWidth="1"/>
    <col min="21" max="21" width="8.296875" bestFit="1" customWidth="1"/>
    <col min="22" max="22" width="16.3984375" bestFit="1" customWidth="1"/>
    <col min="23" max="23" width="53.3984375" bestFit="1" customWidth="1"/>
    <col min="24" max="24" width="56.5" bestFit="1" customWidth="1"/>
    <col min="25" max="25" width="11.69921875" bestFit="1" customWidth="1"/>
    <col min="26" max="26" width="15.796875" bestFit="1" customWidth="1"/>
    <col min="27" max="27" width="15.19921875" bestFit="1" customWidth="1"/>
    <col min="28" max="28" width="15" bestFit="1" customWidth="1"/>
    <col min="29" max="29" width="62.69921875" bestFit="1" customWidth="1"/>
    <col min="30" max="30" width="15.296875" bestFit="1" customWidth="1"/>
    <col min="31" max="31" width="16" customWidth="1"/>
    <col min="32" max="32" width="17" customWidth="1"/>
    <col min="33" max="33" width="36" customWidth="1"/>
  </cols>
  <sheetData>
    <row r="1" spans="1:41" ht="27.15" customHeight="1">
      <c r="A1" s="59" t="s">
        <v>35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20"/>
      <c r="Q1" s="20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ht="22.35" customHeight="1">
      <c r="A2" s="30" t="s">
        <v>36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21"/>
      <c r="Q2" s="2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39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s="6"/>
      <c r="Q3" s="6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41">
      <c r="G4" s="22"/>
      <c r="H4" s="22"/>
      <c r="P4" s="6"/>
      <c r="Q4" s="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41">
      <c r="G5" s="22"/>
      <c r="H5" s="22"/>
      <c r="P5" s="6"/>
      <c r="Q5" s="6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41">
      <c r="G6" s="22"/>
      <c r="H6" s="22"/>
      <c r="P6" s="6"/>
      <c r="Q6" s="6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41">
      <c r="G7" s="22"/>
      <c r="H7" s="22"/>
      <c r="P7" s="6"/>
      <c r="Q7" s="6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41">
      <c r="G8" s="22"/>
      <c r="H8" s="22"/>
      <c r="P8" s="6"/>
      <c r="Q8" s="6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41">
      <c r="G9" s="22"/>
      <c r="H9" s="22"/>
      <c r="P9" s="6"/>
      <c r="Q9" s="6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41">
      <c r="G10" s="22"/>
      <c r="H10" s="22"/>
      <c r="P10" s="6"/>
      <c r="Q10" s="6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41">
      <c r="G11" s="22"/>
      <c r="H11" s="22"/>
      <c r="P11" s="6"/>
      <c r="Q11" s="6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41">
      <c r="G12" s="22"/>
      <c r="H12" s="22"/>
      <c r="P12" s="6"/>
      <c r="Q12" s="6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41">
      <c r="G13" s="22"/>
      <c r="H13" s="22"/>
      <c r="P13" s="6"/>
      <c r="Q13" s="6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41">
      <c r="G14" s="22"/>
      <c r="H14" s="22"/>
      <c r="P14" s="6"/>
      <c r="Q14" s="6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41">
      <c r="G15" s="22"/>
      <c r="H15" s="22"/>
      <c r="P15" s="6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41">
      <c r="G16" s="22"/>
      <c r="H16" s="22"/>
      <c r="P16" s="6"/>
      <c r="Q16" s="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7:41">
      <c r="G17" s="22"/>
      <c r="H17" s="22"/>
      <c r="P17" s="6"/>
      <c r="Q17" s="6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7:41">
      <c r="G18" s="22"/>
      <c r="H18" s="22"/>
      <c r="P18" s="6"/>
      <c r="Q18" s="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7:41">
      <c r="G19" s="22"/>
      <c r="H19" s="22"/>
      <c r="P19" s="6"/>
      <c r="Q19" s="6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7:41">
      <c r="G20" s="22"/>
      <c r="H20" s="22"/>
      <c r="P20" s="6"/>
      <c r="Q20" s="6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7:41">
      <c r="G21" s="22"/>
      <c r="H21" s="22"/>
      <c r="P21" s="6"/>
      <c r="Q21" s="6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7:41">
      <c r="G22" s="22"/>
      <c r="H22" s="22"/>
      <c r="P22" s="6"/>
      <c r="Q22" s="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7:41">
      <c r="G23" s="22"/>
      <c r="H23" s="22"/>
      <c r="P23" s="6"/>
      <c r="Q23" s="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7:41">
      <c r="G24" s="22"/>
      <c r="H24" s="22"/>
      <c r="P24" s="6"/>
      <c r="Q24" s="6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7:41">
      <c r="G25" s="22"/>
      <c r="H25" s="22"/>
      <c r="P25" s="5"/>
      <c r="Q25" s="5"/>
      <c r="R25" s="5"/>
      <c r="S25" s="5"/>
      <c r="T25" s="5"/>
      <c r="U25" s="5"/>
      <c r="V25" s="8"/>
      <c r="W25" s="6"/>
      <c r="X25" s="6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7:41">
      <c r="G26" s="22"/>
      <c r="H26" s="22"/>
      <c r="P26" s="5"/>
      <c r="Q26" s="5"/>
      <c r="R26" s="5"/>
      <c r="S26" s="5"/>
      <c r="T26" s="5"/>
      <c r="U26" s="5"/>
      <c r="V26" s="8"/>
      <c r="W26" s="6"/>
      <c r="X26" s="6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7:41">
      <c r="G27" s="22"/>
      <c r="H27" s="22"/>
      <c r="P27" s="5"/>
      <c r="Q27" s="5"/>
      <c r="R27" s="5"/>
      <c r="S27" s="5"/>
      <c r="T27" s="5"/>
      <c r="U27" s="5"/>
      <c r="V27" s="8"/>
      <c r="W27" s="6"/>
      <c r="X27" s="6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7:41">
      <c r="G28" s="22"/>
      <c r="H28" s="22"/>
      <c r="P28" s="5"/>
      <c r="Q28" s="5"/>
      <c r="R28" s="5"/>
      <c r="S28" s="5"/>
      <c r="T28" s="5"/>
      <c r="U28" s="5"/>
      <c r="V28" s="8"/>
      <c r="W28" s="6"/>
      <c r="X28" s="6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7:41">
      <c r="G29" s="22"/>
      <c r="H29" s="22"/>
      <c r="P29" s="5"/>
      <c r="Q29" s="5"/>
      <c r="R29" s="5"/>
      <c r="S29" s="5"/>
      <c r="T29" s="5"/>
      <c r="U29" s="5"/>
      <c r="V29" s="8"/>
      <c r="W29" s="6"/>
      <c r="X29" s="6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7:41">
      <c r="G30" s="22"/>
      <c r="H30" s="22"/>
      <c r="P30" s="5"/>
      <c r="Q30" s="5"/>
      <c r="R30" s="5"/>
      <c r="S30" s="5"/>
      <c r="T30" s="5"/>
      <c r="U30" s="5"/>
      <c r="V30" s="8"/>
      <c r="W30" s="6"/>
      <c r="X30" s="6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7:41">
      <c r="G31" s="22"/>
      <c r="H31" s="22"/>
      <c r="P31" s="5"/>
      <c r="Q31" s="5"/>
      <c r="R31" s="5"/>
      <c r="S31" s="5"/>
      <c r="T31" s="5"/>
      <c r="U31" s="5"/>
      <c r="V31" s="8"/>
      <c r="W31" s="6"/>
      <c r="X31" s="6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7:41">
      <c r="G32" s="22"/>
      <c r="H32" s="22"/>
      <c r="P32" s="5"/>
      <c r="Q32" s="5"/>
      <c r="R32" s="5"/>
      <c r="S32" s="5"/>
      <c r="T32" s="5"/>
      <c r="U32" s="5"/>
      <c r="V32" s="8"/>
      <c r="W32" s="6"/>
      <c r="X32" s="6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7:41">
      <c r="G33" s="22"/>
      <c r="H33" s="22"/>
      <c r="P33" s="5"/>
      <c r="Q33" s="5"/>
      <c r="R33" s="5"/>
      <c r="S33" s="5"/>
      <c r="T33" s="5"/>
      <c r="U33" s="5"/>
      <c r="V33" s="8"/>
      <c r="W33" s="6"/>
      <c r="X33" s="6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7:41">
      <c r="G34" s="22"/>
      <c r="H34" s="22"/>
      <c r="P34" s="5"/>
      <c r="Q34" s="5"/>
      <c r="R34" s="5"/>
      <c r="S34" s="5"/>
      <c r="T34" s="5"/>
      <c r="U34" s="5"/>
      <c r="V34" s="8"/>
      <c r="W34" s="6"/>
      <c r="X34" s="6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7:41">
      <c r="G35" s="22"/>
      <c r="H35" s="22"/>
      <c r="P35" s="5"/>
      <c r="Q35" s="5"/>
      <c r="R35" s="5"/>
      <c r="S35" s="5"/>
      <c r="T35" s="5"/>
      <c r="U35" s="5"/>
      <c r="V35" s="8"/>
      <c r="W35" s="6"/>
      <c r="X35" s="6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7:41">
      <c r="G36" s="22"/>
      <c r="H36" s="22"/>
      <c r="P36" s="5"/>
      <c r="Q36" s="5"/>
      <c r="R36" s="5"/>
      <c r="S36" s="5"/>
      <c r="T36" s="5"/>
      <c r="U36" s="5"/>
      <c r="V36" s="8"/>
      <c r="W36" s="6"/>
      <c r="X36" s="6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7:41">
      <c r="G37" s="22"/>
      <c r="H37" s="22"/>
      <c r="P37" s="5"/>
      <c r="Q37" s="5"/>
      <c r="R37" s="5"/>
      <c r="S37" s="5"/>
      <c r="T37" s="5"/>
      <c r="U37" s="5"/>
      <c r="V37" s="8"/>
      <c r="W37" s="6"/>
      <c r="X37" s="6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7:41">
      <c r="G38" s="22"/>
      <c r="H38" s="22"/>
      <c r="P38" s="5"/>
      <c r="Q38" s="5"/>
      <c r="R38" s="5"/>
      <c r="S38" s="5"/>
      <c r="T38" s="5"/>
      <c r="U38" s="5"/>
      <c r="V38" s="8"/>
      <c r="W38" s="6"/>
      <c r="X38" s="6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7:41">
      <c r="G39" s="22"/>
      <c r="H39" s="22"/>
      <c r="P39" s="5"/>
      <c r="Q39" s="5"/>
      <c r="R39" s="5"/>
      <c r="S39" s="5"/>
      <c r="T39" s="5"/>
      <c r="U39" s="5"/>
      <c r="V39" s="8"/>
      <c r="W39" s="6"/>
      <c r="X39" s="6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7:41">
      <c r="G40" s="22"/>
      <c r="H40" s="22"/>
      <c r="P40" s="5"/>
      <c r="Q40" s="5"/>
      <c r="R40" s="5"/>
      <c r="S40" s="5"/>
      <c r="T40" s="5"/>
      <c r="U40" s="5"/>
      <c r="V40" s="8"/>
      <c r="W40" s="6"/>
      <c r="X40" s="6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7:41">
      <c r="G41" s="22"/>
      <c r="H41" s="22"/>
      <c r="P41" s="5"/>
      <c r="Q41" s="5"/>
      <c r="R41" s="5"/>
      <c r="S41" s="5"/>
      <c r="T41" s="5"/>
      <c r="U41" s="5"/>
      <c r="V41" s="8"/>
      <c r="W41" s="6"/>
      <c r="X41" s="6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7:41">
      <c r="G42" s="22"/>
      <c r="H42" s="22"/>
      <c r="P42" s="5"/>
      <c r="Q42" s="5"/>
      <c r="R42" s="5"/>
      <c r="S42" s="5"/>
      <c r="T42" s="5"/>
      <c r="U42" s="5"/>
      <c r="V42" s="8"/>
      <c r="W42" s="6"/>
      <c r="X42" s="6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7:41">
      <c r="G43" s="22"/>
      <c r="H43" s="22"/>
      <c r="P43" s="5"/>
      <c r="Q43" s="5"/>
      <c r="R43" s="5"/>
      <c r="S43" s="5"/>
      <c r="T43" s="5"/>
      <c r="U43" s="5"/>
      <c r="V43" s="8"/>
      <c r="W43" s="6"/>
      <c r="X43" s="6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7:41">
      <c r="G44" s="22"/>
      <c r="H44" s="22"/>
      <c r="P44" s="5"/>
      <c r="Q44" s="5"/>
      <c r="R44" s="5"/>
      <c r="S44" s="5"/>
      <c r="T44" s="5"/>
      <c r="U44" s="5"/>
      <c r="V44" s="8"/>
      <c r="W44" s="6"/>
      <c r="X44" s="6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7:41">
      <c r="G45" s="22"/>
      <c r="H45" s="22"/>
      <c r="P45" s="5"/>
      <c r="Q45" s="5"/>
      <c r="R45" s="5"/>
      <c r="S45" s="5"/>
      <c r="T45" s="5"/>
      <c r="U45" s="5"/>
      <c r="V45" s="8"/>
      <c r="W45" s="6"/>
      <c r="X45" s="6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7:41">
      <c r="G46" s="22"/>
      <c r="H46" s="22"/>
      <c r="P46" s="5"/>
      <c r="Q46" s="5"/>
      <c r="R46" s="5"/>
      <c r="S46" s="5"/>
      <c r="T46" s="5"/>
      <c r="U46" s="5"/>
      <c r="V46" s="8"/>
      <c r="W46" s="6"/>
      <c r="X46" s="6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7:41">
      <c r="G47" s="22"/>
      <c r="H47" s="22"/>
      <c r="P47" s="5"/>
      <c r="Q47" s="5"/>
      <c r="R47" s="5"/>
      <c r="S47" s="5"/>
      <c r="T47" s="5"/>
      <c r="U47" s="5"/>
      <c r="V47" s="8"/>
      <c r="W47" s="6"/>
      <c r="X47" s="6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7:41">
      <c r="G48" s="22"/>
      <c r="H48" s="22"/>
      <c r="P48" s="5"/>
      <c r="Q48" s="5"/>
      <c r="R48" s="5"/>
      <c r="S48" s="5"/>
      <c r="T48" s="5"/>
      <c r="U48" s="5"/>
      <c r="V48" s="8"/>
      <c r="W48" s="6"/>
      <c r="X48" s="6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7:41">
      <c r="G49" s="22"/>
      <c r="H49" s="22"/>
      <c r="P49" s="5"/>
      <c r="Q49" s="5"/>
      <c r="R49" s="5"/>
      <c r="S49" s="5"/>
      <c r="T49" s="5"/>
      <c r="U49" s="5"/>
      <c r="V49" s="8"/>
      <c r="W49" s="6"/>
      <c r="X49" s="6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7:41">
      <c r="G50" s="22"/>
      <c r="H50" s="22"/>
      <c r="P50" s="5"/>
      <c r="Q50" s="5"/>
      <c r="R50" s="5"/>
      <c r="S50" s="5"/>
      <c r="T50" s="5"/>
      <c r="U50" s="5"/>
      <c r="V50" s="8"/>
      <c r="W50" s="6"/>
      <c r="X50" s="6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7:41">
      <c r="G51" s="22"/>
      <c r="H51" s="22"/>
      <c r="P51" s="5"/>
      <c r="Q51" s="5"/>
      <c r="R51" s="5"/>
      <c r="S51" s="5"/>
      <c r="T51" s="5"/>
      <c r="U51" s="5"/>
      <c r="V51" s="8"/>
      <c r="W51" s="6"/>
      <c r="X51" s="6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7:41">
      <c r="G52" s="22"/>
      <c r="H52" s="22"/>
      <c r="P52" s="5"/>
      <c r="Q52" s="5"/>
      <c r="R52" s="5"/>
      <c r="S52" s="5"/>
      <c r="T52" s="5"/>
      <c r="U52" s="5"/>
      <c r="V52" s="8"/>
      <c r="W52" s="6"/>
      <c r="X52" s="6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7:41">
      <c r="G53" s="22"/>
      <c r="H53" s="22"/>
      <c r="P53" s="5"/>
      <c r="Q53" s="5"/>
      <c r="R53" s="5"/>
      <c r="S53" s="5"/>
      <c r="T53" s="5"/>
      <c r="U53" s="5"/>
      <c r="V53" s="8"/>
      <c r="W53" s="6"/>
      <c r="X53" s="6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7:41">
      <c r="G54" s="22"/>
      <c r="H54" s="22"/>
      <c r="P54" s="5"/>
      <c r="Q54" s="5"/>
      <c r="R54" s="5"/>
      <c r="S54" s="5"/>
      <c r="T54" s="5"/>
      <c r="U54" s="5"/>
      <c r="V54" s="8"/>
      <c r="W54" s="6"/>
      <c r="X54" s="6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7:41">
      <c r="G55" s="22"/>
      <c r="H55" s="22"/>
      <c r="P55" s="5"/>
      <c r="Q55" s="5"/>
      <c r="R55" s="5"/>
      <c r="S55" s="5"/>
      <c r="T55" s="5"/>
      <c r="U55" s="5"/>
      <c r="V55" s="8"/>
      <c r="W55" s="6"/>
      <c r="X55" s="6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7:41">
      <c r="G56" s="22"/>
      <c r="H56" s="22"/>
      <c r="P56" s="5"/>
      <c r="Q56" s="5"/>
      <c r="R56" s="5"/>
      <c r="S56" s="5"/>
      <c r="T56" s="5"/>
      <c r="U56" s="5"/>
      <c r="V56" s="8"/>
      <c r="W56" s="6"/>
      <c r="X56" s="6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7:41">
      <c r="G57" s="22"/>
      <c r="H57" s="22"/>
      <c r="P57" s="5"/>
      <c r="Q57" s="5"/>
      <c r="R57" s="5"/>
      <c r="S57" s="5"/>
      <c r="T57" s="5"/>
      <c r="U57" s="5"/>
      <c r="V57" s="8"/>
      <c r="W57" s="6"/>
      <c r="X57" s="6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7:41">
      <c r="G58" s="22"/>
      <c r="H58" s="22"/>
      <c r="P58" s="5"/>
      <c r="Q58" s="5"/>
      <c r="R58" s="5"/>
      <c r="S58" s="5"/>
      <c r="T58" s="5"/>
      <c r="U58" s="5"/>
      <c r="V58" s="8"/>
      <c r="W58" s="6"/>
      <c r="X58" s="6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7:41">
      <c r="G59" s="22"/>
      <c r="H59" s="22"/>
      <c r="P59" s="5"/>
      <c r="Q59" s="5"/>
      <c r="R59" s="5"/>
      <c r="S59" s="5"/>
      <c r="T59" s="5"/>
      <c r="U59" s="5"/>
      <c r="V59" s="8"/>
      <c r="W59" s="6"/>
      <c r="X59" s="6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7:41">
      <c r="G60" s="22"/>
      <c r="H60" s="22"/>
      <c r="P60" s="5"/>
      <c r="Q60" s="5"/>
      <c r="R60" s="5"/>
      <c r="S60" s="5"/>
      <c r="T60" s="5"/>
      <c r="U60" s="5"/>
      <c r="V60" s="8"/>
      <c r="W60" s="6"/>
      <c r="X60" s="6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7:41">
      <c r="G61" s="22"/>
      <c r="H61" s="22"/>
      <c r="P61" s="5"/>
      <c r="Q61" s="5"/>
      <c r="R61" s="5"/>
      <c r="S61" s="5"/>
      <c r="T61" s="5"/>
      <c r="U61" s="5"/>
      <c r="V61" s="8"/>
      <c r="W61" s="6"/>
      <c r="X61" s="6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7:41">
      <c r="G62" s="22"/>
      <c r="H62" s="22"/>
      <c r="P62" s="5"/>
      <c r="Q62" s="5"/>
      <c r="R62" s="5"/>
      <c r="S62" s="5"/>
      <c r="T62" s="5"/>
      <c r="U62" s="5"/>
      <c r="V62" s="8"/>
      <c r="W62" s="6"/>
      <c r="X62" s="6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7:41">
      <c r="G63" s="22"/>
      <c r="H63" s="22"/>
      <c r="P63" s="5"/>
      <c r="Q63" s="5"/>
      <c r="R63" s="5"/>
      <c r="S63" s="5"/>
      <c r="T63" s="5"/>
      <c r="U63" s="5"/>
      <c r="V63" s="8"/>
      <c r="W63" s="6"/>
      <c r="X63" s="6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7:41">
      <c r="G64" s="22"/>
      <c r="H64" s="22"/>
      <c r="P64" s="5"/>
      <c r="Q64" s="5"/>
      <c r="R64" s="5"/>
      <c r="S64" s="5"/>
      <c r="T64" s="5"/>
      <c r="U64" s="5"/>
      <c r="V64" s="8"/>
      <c r="W64" s="6"/>
      <c r="X64" s="6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7:41">
      <c r="G65" s="22"/>
      <c r="H65" s="22"/>
      <c r="P65" s="5"/>
      <c r="Q65" s="5"/>
      <c r="R65" s="5"/>
      <c r="S65" s="5"/>
      <c r="T65" s="5"/>
      <c r="U65" s="5"/>
      <c r="V65" s="8"/>
      <c r="W65" s="6"/>
      <c r="X65" s="6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7:41">
      <c r="G66" s="22"/>
      <c r="H66" s="22"/>
      <c r="P66" s="5"/>
      <c r="Q66" s="5"/>
      <c r="R66" s="5"/>
      <c r="S66" s="5"/>
      <c r="T66" s="5"/>
      <c r="U66" s="5"/>
      <c r="V66" s="8"/>
      <c r="W66" s="6"/>
      <c r="X66" s="6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7:41">
      <c r="G67" s="22"/>
      <c r="H67" s="22"/>
      <c r="P67" s="5"/>
      <c r="Q67" s="5"/>
      <c r="R67" s="5"/>
      <c r="S67" s="5"/>
      <c r="T67" s="5"/>
      <c r="U67" s="5"/>
      <c r="V67" s="8"/>
      <c r="W67" s="6"/>
      <c r="X67" s="6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7:41">
      <c r="G68" s="22"/>
      <c r="H68" s="22"/>
      <c r="P68" s="5"/>
      <c r="Q68" s="5"/>
      <c r="R68" s="5"/>
      <c r="S68" s="5"/>
      <c r="T68" s="5"/>
      <c r="U68" s="5"/>
      <c r="V68" s="8"/>
      <c r="W68" s="6"/>
      <c r="X68" s="6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7:41">
      <c r="G69" s="22"/>
      <c r="H69" s="22"/>
      <c r="P69" s="5"/>
      <c r="Q69" s="5"/>
      <c r="R69" s="5"/>
      <c r="S69" s="5"/>
      <c r="T69" s="5"/>
      <c r="U69" s="5"/>
      <c r="V69" s="8"/>
      <c r="W69" s="6"/>
      <c r="X69" s="6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7:41">
      <c r="G70" s="22"/>
      <c r="H70" s="22"/>
      <c r="P70" s="5"/>
      <c r="Q70" s="5"/>
      <c r="R70" s="5"/>
      <c r="S70" s="5"/>
      <c r="T70" s="5"/>
      <c r="U70" s="5"/>
      <c r="V70" s="8"/>
      <c r="W70" s="6"/>
      <c r="X70" s="6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7:41">
      <c r="G71" s="22"/>
      <c r="H71" s="22"/>
      <c r="P71" s="5"/>
      <c r="Q71" s="5"/>
      <c r="R71" s="5"/>
      <c r="S71" s="5"/>
      <c r="T71" s="5"/>
      <c r="U71" s="5"/>
      <c r="V71" s="8"/>
      <c r="W71" s="6"/>
      <c r="X71" s="6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7:41">
      <c r="G72" s="22"/>
      <c r="H72" s="22"/>
      <c r="P72" s="5"/>
      <c r="Q72" s="5"/>
      <c r="R72" s="5"/>
      <c r="S72" s="5"/>
      <c r="T72" s="5"/>
      <c r="U72" s="5"/>
      <c r="V72" s="8"/>
      <c r="W72" s="6"/>
      <c r="X72" s="6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7:41">
      <c r="G73" s="22"/>
      <c r="H73" s="22"/>
      <c r="P73" s="5"/>
      <c r="Q73" s="5"/>
      <c r="R73" s="5"/>
      <c r="S73" s="5"/>
      <c r="T73" s="5"/>
      <c r="U73" s="5"/>
      <c r="V73" s="8"/>
      <c r="W73" s="6"/>
      <c r="X73" s="6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7:41">
      <c r="G74" s="22"/>
      <c r="H74" s="22"/>
      <c r="P74" s="5"/>
      <c r="Q74" s="5"/>
      <c r="R74" s="5"/>
      <c r="S74" s="5"/>
      <c r="T74" s="5"/>
      <c r="U74" s="5"/>
      <c r="V74" s="8"/>
      <c r="W74" s="6"/>
      <c r="X74" s="6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7:41">
      <c r="G75" s="22"/>
      <c r="H75" s="22"/>
      <c r="P75" s="5"/>
      <c r="Q75" s="5"/>
      <c r="R75" s="5"/>
      <c r="S75" s="5"/>
      <c r="T75" s="5"/>
      <c r="U75" s="5"/>
      <c r="V75" s="8"/>
      <c r="W75" s="6"/>
      <c r="X75" s="6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7:41">
      <c r="G76" s="22"/>
      <c r="H76" s="22"/>
      <c r="P76" s="5"/>
      <c r="Q76" s="5"/>
      <c r="R76" s="5"/>
      <c r="S76" s="5"/>
      <c r="T76" s="5"/>
      <c r="U76" s="5"/>
      <c r="V76" s="8"/>
      <c r="W76" s="6"/>
      <c r="X76" s="6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7:41">
      <c r="G77" s="22"/>
      <c r="H77" s="22"/>
      <c r="P77" s="5"/>
      <c r="Q77" s="5"/>
      <c r="R77" s="5"/>
      <c r="S77" s="5"/>
      <c r="T77" s="5"/>
      <c r="U77" s="5"/>
      <c r="V77" s="8"/>
      <c r="W77" s="6"/>
      <c r="X77" s="6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7:41">
      <c r="G78" s="22"/>
      <c r="H78" s="22"/>
      <c r="P78" s="5"/>
      <c r="Q78" s="5"/>
      <c r="R78" s="5"/>
      <c r="S78" s="5"/>
      <c r="T78" s="5"/>
      <c r="U78" s="5"/>
      <c r="V78" s="8"/>
      <c r="W78" s="6"/>
      <c r="X78" s="6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7:41">
      <c r="G79" s="22"/>
      <c r="H79" s="22"/>
      <c r="P79" s="5"/>
      <c r="Q79" s="5"/>
      <c r="R79" s="5"/>
      <c r="S79" s="5"/>
      <c r="T79" s="5"/>
      <c r="U79" s="5"/>
      <c r="V79" s="8"/>
      <c r="W79" s="6"/>
      <c r="X79" s="6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7:41">
      <c r="G80" s="22"/>
      <c r="H80" s="22"/>
      <c r="P80" s="5"/>
      <c r="Q80" s="5"/>
      <c r="R80" s="5"/>
      <c r="S80" s="5"/>
      <c r="T80" s="5"/>
      <c r="U80" s="5"/>
      <c r="V80" s="8"/>
      <c r="W80" s="6"/>
      <c r="X80" s="6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7:48">
      <c r="G81" s="22"/>
      <c r="H81" s="22"/>
      <c r="P81" s="5"/>
      <c r="Q81" s="5"/>
      <c r="R81" s="5"/>
      <c r="S81" s="5"/>
      <c r="T81" s="5"/>
      <c r="U81" s="5"/>
      <c r="V81" s="8"/>
      <c r="W81" s="6"/>
      <c r="X81" s="6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7:48">
      <c r="G82" s="22"/>
      <c r="H82" s="22"/>
      <c r="P82" s="5"/>
      <c r="Q82" s="5"/>
      <c r="R82" s="5"/>
      <c r="S82" s="5"/>
      <c r="T82" s="5"/>
      <c r="U82" s="5"/>
      <c r="V82" s="8"/>
      <c r="W82" s="6"/>
      <c r="X82" s="6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7:48">
      <c r="G83" s="22"/>
      <c r="H83" s="22"/>
      <c r="P83" s="5"/>
      <c r="Q83" s="5"/>
      <c r="R83" s="5"/>
      <c r="S83" s="5"/>
      <c r="T83" s="5"/>
      <c r="U83" s="5"/>
      <c r="V83" s="8"/>
      <c r="W83" s="6"/>
      <c r="X83" s="6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7:48">
      <c r="G84" s="22"/>
      <c r="H84" s="22"/>
      <c r="P84" s="5"/>
      <c r="Q84" s="5"/>
      <c r="R84" s="5"/>
      <c r="S84" s="5"/>
      <c r="T84" s="5"/>
      <c r="U84" s="5"/>
      <c r="V84" s="8"/>
      <c r="W84" s="6"/>
      <c r="X84" s="6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7:48">
      <c r="G85" s="22"/>
      <c r="H85" s="22"/>
      <c r="P85" s="5"/>
      <c r="Q85" s="5"/>
      <c r="R85" s="5"/>
      <c r="S85" s="5"/>
      <c r="T85" s="5"/>
      <c r="U85" s="5"/>
      <c r="V85" s="8"/>
      <c r="W85" s="6"/>
      <c r="X85" s="6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7:48">
      <c r="G86" s="22"/>
      <c r="H86" s="22"/>
      <c r="P86" s="5"/>
      <c r="Q86" s="5"/>
      <c r="R86" s="5"/>
      <c r="S86" s="5"/>
      <c r="T86" s="5"/>
      <c r="U86" s="5"/>
      <c r="V86" s="8"/>
      <c r="W86" s="6"/>
      <c r="X86" s="6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7:48">
      <c r="G87" s="22"/>
      <c r="H87" s="22"/>
      <c r="P87" s="5"/>
      <c r="Q87" s="5"/>
      <c r="R87" s="5"/>
      <c r="S87" s="5"/>
      <c r="T87" s="5"/>
      <c r="U87" s="5"/>
      <c r="V87" s="8"/>
      <c r="W87" s="6"/>
      <c r="X87" s="6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7:48">
      <c r="G88" s="22"/>
      <c r="H88" s="22"/>
      <c r="P88" s="5"/>
      <c r="Q88" s="5"/>
      <c r="R88" s="5"/>
      <c r="S88" s="5"/>
      <c r="T88" s="5"/>
      <c r="U88" s="5"/>
      <c r="V88" s="8"/>
      <c r="W88" s="6"/>
      <c r="X88" s="6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7:48">
      <c r="G89" s="22"/>
      <c r="H89" s="22"/>
      <c r="P89" s="5"/>
      <c r="Q89" s="5"/>
      <c r="R89" s="5"/>
      <c r="S89" s="5"/>
      <c r="T89" s="5"/>
      <c r="U89" s="5"/>
      <c r="V89" s="8"/>
      <c r="W89" s="6"/>
      <c r="X89" s="6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7:48">
      <c r="G90" s="22"/>
      <c r="H90" s="22"/>
      <c r="P90" s="5"/>
      <c r="Q90" s="5"/>
      <c r="R90" s="5"/>
      <c r="S90" s="5"/>
      <c r="T90" s="5"/>
      <c r="U90" s="5"/>
      <c r="V90" s="8"/>
      <c r="W90" s="6"/>
      <c r="X90" s="6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7:48">
      <c r="G91" s="22"/>
      <c r="H91" s="22"/>
      <c r="P91" s="5"/>
      <c r="Q91" s="5"/>
      <c r="R91" s="5"/>
      <c r="S91" s="5"/>
      <c r="T91" s="5"/>
      <c r="U91" s="5"/>
      <c r="V91" s="8"/>
      <c r="W91" s="6"/>
      <c r="X91" s="6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7:48">
      <c r="G92" s="22"/>
      <c r="H92" s="22"/>
      <c r="W92" s="5"/>
      <c r="X92" s="5"/>
      <c r="Y92" s="5"/>
      <c r="Z92" s="5"/>
      <c r="AA92" s="5"/>
      <c r="AB92" s="5"/>
      <c r="AC92" s="8"/>
      <c r="AD92" s="6"/>
      <c r="AE92" s="6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7:48">
      <c r="G93" s="22"/>
      <c r="H93" s="22"/>
      <c r="W93" s="5"/>
      <c r="X93" s="5"/>
      <c r="Y93" s="5"/>
      <c r="Z93" s="5"/>
      <c r="AA93" s="5"/>
      <c r="AB93" s="5"/>
      <c r="AC93" s="8"/>
      <c r="AD93" s="6"/>
      <c r="AE93" s="6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7:48">
      <c r="G94" s="22"/>
      <c r="H94" s="22"/>
      <c r="W94" s="5"/>
      <c r="X94" s="5"/>
      <c r="Y94" s="5"/>
      <c r="Z94" s="5"/>
      <c r="AA94" s="5"/>
      <c r="AB94" s="5"/>
      <c r="AC94" s="8"/>
      <c r="AD94" s="6"/>
      <c r="AE94" s="6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7:48">
      <c r="G95" s="22"/>
      <c r="H95" s="22"/>
      <c r="W95" s="5"/>
      <c r="X95" s="5"/>
      <c r="Y95" s="5"/>
      <c r="Z95" s="5"/>
      <c r="AA95" s="5"/>
      <c r="AB95" s="5"/>
      <c r="AC95" s="8"/>
      <c r="AD95" s="6"/>
      <c r="AE95" s="6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7:48">
      <c r="G96" s="22"/>
      <c r="H96" s="22"/>
      <c r="W96" s="5"/>
      <c r="X96" s="5"/>
      <c r="Y96" s="5"/>
      <c r="Z96" s="5"/>
      <c r="AA96" s="5"/>
      <c r="AB96" s="5"/>
      <c r="AC96" s="8"/>
      <c r="AD96" s="6"/>
      <c r="AE96" s="6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7:49">
      <c r="G97" s="22"/>
      <c r="H97" s="22"/>
      <c r="W97" s="5"/>
      <c r="X97" s="5"/>
      <c r="Y97" s="5"/>
      <c r="Z97" s="5"/>
      <c r="AA97" s="5"/>
      <c r="AB97" s="5"/>
      <c r="AC97" s="8"/>
      <c r="AD97" s="6"/>
      <c r="AE97" s="6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7:49">
      <c r="G98" s="22"/>
      <c r="H98" s="22"/>
      <c r="W98" s="5"/>
      <c r="X98" s="5"/>
      <c r="Y98" s="5"/>
      <c r="Z98" s="5"/>
      <c r="AA98" s="5"/>
      <c r="AB98" s="5"/>
      <c r="AC98" s="8"/>
      <c r="AD98" s="6"/>
      <c r="AE98" s="6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7:49">
      <c r="G99" s="22"/>
      <c r="H99" s="22"/>
      <c r="W99" s="5"/>
      <c r="X99" s="5"/>
      <c r="Y99" s="5"/>
      <c r="Z99" s="5"/>
      <c r="AA99" s="5"/>
      <c r="AB99" s="5"/>
      <c r="AC99" s="8"/>
      <c r="AD99" s="6"/>
      <c r="AE99" s="6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7:49">
      <c r="G100" s="22"/>
      <c r="H100" s="22"/>
      <c r="W100" s="5"/>
      <c r="X100" s="5"/>
      <c r="Y100" s="5"/>
      <c r="Z100" s="5"/>
      <c r="AA100" s="5"/>
      <c r="AB100" s="5"/>
      <c r="AC100" s="8"/>
      <c r="AD100" s="6"/>
      <c r="AE100" s="6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7:49">
      <c r="G101" s="22"/>
      <c r="H101" s="22"/>
      <c r="W101" s="5"/>
      <c r="X101" s="5"/>
      <c r="Y101" s="5"/>
      <c r="Z101" s="5"/>
      <c r="AA101" s="5"/>
      <c r="AB101" s="5"/>
      <c r="AC101" s="8"/>
      <c r="AD101" s="6"/>
      <c r="AE101" s="6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7:49">
      <c r="G102" s="22"/>
      <c r="H102" s="22"/>
      <c r="W102" s="5"/>
      <c r="X102" s="5"/>
      <c r="Y102" s="5"/>
      <c r="Z102" s="5"/>
      <c r="AA102" s="5"/>
      <c r="AB102" s="5"/>
      <c r="AC102" s="8"/>
      <c r="AD102" s="6"/>
      <c r="AE102" s="6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7:49">
      <c r="G103" s="22"/>
      <c r="H103" s="22"/>
      <c r="W103" s="5"/>
      <c r="X103" s="5"/>
      <c r="Y103" s="5"/>
      <c r="Z103" s="5"/>
      <c r="AA103" s="5"/>
      <c r="AB103" s="5"/>
      <c r="AC103" s="8"/>
      <c r="AD103" s="6"/>
      <c r="AE103" s="6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7:49">
      <c r="G104" s="22"/>
      <c r="H104" s="22"/>
      <c r="W104" s="5"/>
      <c r="X104" s="5"/>
      <c r="Y104" s="5"/>
      <c r="Z104" s="5"/>
      <c r="AA104" s="5"/>
      <c r="AB104" s="5"/>
      <c r="AC104" s="8"/>
      <c r="AD104" s="6"/>
      <c r="AE104" s="6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7:49">
      <c r="G105" s="22"/>
      <c r="H105" s="22"/>
      <c r="X105" s="5"/>
      <c r="Y105" s="5"/>
      <c r="Z105" s="5"/>
      <c r="AA105" s="5"/>
      <c r="AB105" s="5"/>
      <c r="AC105" s="5"/>
      <c r="AD105" s="8"/>
      <c r="AE105" s="6"/>
      <c r="AF105" s="6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7:49">
      <c r="G106" s="22"/>
      <c r="H106" s="22"/>
      <c r="X106" s="5"/>
      <c r="Y106" s="5"/>
      <c r="Z106" s="5"/>
      <c r="AA106" s="5"/>
      <c r="AB106" s="5"/>
      <c r="AC106" s="5"/>
      <c r="AD106" s="8"/>
      <c r="AE106" s="6"/>
      <c r="AF106" s="6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7:49">
      <c r="G107" s="22"/>
      <c r="H107" s="22"/>
      <c r="X107" s="5"/>
      <c r="Y107" s="5"/>
      <c r="Z107" s="5"/>
      <c r="AA107" s="5"/>
      <c r="AB107" s="5"/>
      <c r="AC107" s="5"/>
      <c r="AD107" s="8"/>
      <c r="AE107" s="6"/>
      <c r="AF107" s="6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7:49">
      <c r="G108" s="22"/>
      <c r="H108" s="22"/>
      <c r="X108" s="5"/>
      <c r="Y108" s="5"/>
      <c r="Z108" s="5"/>
      <c r="AA108" s="5"/>
      <c r="AB108" s="5"/>
      <c r="AC108" s="5"/>
      <c r="AD108" s="8"/>
      <c r="AE108" s="6"/>
      <c r="AF108" s="6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7:49">
      <c r="X109" s="5"/>
      <c r="Y109" s="5"/>
      <c r="Z109" s="5"/>
      <c r="AA109" s="5"/>
      <c r="AB109" s="5"/>
      <c r="AC109" s="5"/>
      <c r="AD109" s="8"/>
      <c r="AE109" s="6"/>
      <c r="AF109" s="6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7:49">
      <c r="X110" s="5"/>
      <c r="Y110" s="5"/>
      <c r="Z110" s="5"/>
      <c r="AA110" s="5"/>
      <c r="AB110" s="5"/>
      <c r="AC110" s="5"/>
      <c r="AD110" s="8"/>
      <c r="AE110" s="6"/>
      <c r="AF110" s="6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7:49">
      <c r="X111" s="5"/>
      <c r="Y111" s="5"/>
      <c r="Z111" s="5"/>
      <c r="AA111" s="5"/>
      <c r="AB111" s="5"/>
      <c r="AC111" s="5"/>
      <c r="AD111" s="8"/>
      <c r="AE111" s="6"/>
      <c r="AF111" s="6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7:49">
      <c r="X112" s="5"/>
      <c r="Y112" s="5"/>
      <c r="Z112" s="5"/>
      <c r="AA112" s="5"/>
      <c r="AB112" s="5"/>
      <c r="AC112" s="5"/>
      <c r="AD112" s="8"/>
      <c r="AE112" s="6"/>
      <c r="AF112" s="6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24:49">
      <c r="X113" s="5"/>
      <c r="Y113" s="5"/>
      <c r="Z113" s="5"/>
      <c r="AA113" s="5"/>
      <c r="AB113" s="5"/>
      <c r="AC113" s="5"/>
      <c r="AD113" s="8"/>
      <c r="AE113" s="6"/>
      <c r="AF113" s="6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24:49">
      <c r="X114" s="5"/>
      <c r="Y114" s="5"/>
      <c r="Z114" s="5"/>
      <c r="AA114" s="5"/>
      <c r="AB114" s="5"/>
      <c r="AC114" s="5"/>
      <c r="AD114" s="8"/>
      <c r="AE114" s="6"/>
      <c r="AF114" s="6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24:49">
      <c r="X115" s="5"/>
      <c r="Y115" s="5"/>
      <c r="Z115" s="5"/>
      <c r="AA115" s="5"/>
      <c r="AB115" s="5"/>
      <c r="AC115" s="5"/>
      <c r="AD115" s="8"/>
      <c r="AE115" s="6"/>
      <c r="AF115" s="6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24:49">
      <c r="X116" s="5"/>
      <c r="Y116" s="5"/>
      <c r="Z116" s="5"/>
      <c r="AA116" s="5"/>
      <c r="AB116" s="5"/>
      <c r="AC116" s="5"/>
      <c r="AD116" s="8"/>
      <c r="AE116" s="6"/>
      <c r="AF116" s="6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24:49">
      <c r="X117" s="5"/>
      <c r="Y117" s="5"/>
      <c r="Z117" s="5"/>
      <c r="AA117" s="5"/>
      <c r="AB117" s="5"/>
      <c r="AC117" s="5"/>
      <c r="AD117" s="8"/>
      <c r="AE117" s="6"/>
      <c r="AF117" s="6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24:49">
      <c r="X118" s="5"/>
      <c r="Y118" s="5"/>
      <c r="Z118" s="5"/>
      <c r="AA118" s="5"/>
      <c r="AB118" s="5"/>
      <c r="AC118" s="5"/>
      <c r="AD118" s="8"/>
      <c r="AE118" s="6"/>
      <c r="AF118" s="6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24:49">
      <c r="X119" s="5"/>
      <c r="Y119" s="5"/>
      <c r="Z119" s="5"/>
      <c r="AA119" s="5"/>
      <c r="AB119" s="5"/>
      <c r="AC119" s="5"/>
      <c r="AD119" s="8"/>
      <c r="AE119" s="6"/>
      <c r="AF119" s="6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24:49">
      <c r="X120" s="5"/>
      <c r="Y120" s="5"/>
      <c r="Z120" s="5"/>
      <c r="AA120" s="5"/>
      <c r="AB120" s="5"/>
      <c r="AC120" s="5"/>
      <c r="AD120" s="8"/>
      <c r="AE120" s="6"/>
      <c r="AF120" s="6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24:49">
      <c r="X121" s="5"/>
      <c r="Y121" s="5"/>
      <c r="Z121" s="5"/>
      <c r="AA121" s="5"/>
      <c r="AB121" s="5"/>
      <c r="AC121" s="5"/>
      <c r="AD121" s="8"/>
      <c r="AE121" s="6"/>
      <c r="AF121" s="6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24:49">
      <c r="X122" s="5"/>
      <c r="Y122" s="5"/>
      <c r="Z122" s="5"/>
      <c r="AA122" s="5"/>
      <c r="AB122" s="5"/>
      <c r="AC122" s="5"/>
      <c r="AD122" s="8"/>
      <c r="AE122" s="6"/>
      <c r="AF122" s="6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24:49">
      <c r="X123" s="5"/>
      <c r="Y123" s="5"/>
      <c r="Z123" s="5"/>
      <c r="AA123" s="5"/>
      <c r="AB123" s="5"/>
      <c r="AC123" s="5"/>
      <c r="AD123" s="8"/>
      <c r="AE123" s="6"/>
      <c r="AF123" s="6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24:49">
      <c r="X124" s="5"/>
      <c r="Y124" s="5"/>
      <c r="Z124" s="5"/>
      <c r="AA124" s="5"/>
      <c r="AB124" s="5"/>
      <c r="AC124" s="5"/>
      <c r="AD124" s="8"/>
      <c r="AE124" s="6"/>
      <c r="AF124" s="6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24:49">
      <c r="X125" s="5"/>
      <c r="Y125" s="5"/>
      <c r="Z125" s="5"/>
      <c r="AA125" s="5"/>
      <c r="AB125" s="5"/>
      <c r="AC125" s="5"/>
      <c r="AD125" s="8"/>
      <c r="AE125" s="6"/>
      <c r="AF125" s="6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24:49">
      <c r="X126" s="5"/>
      <c r="Y126" s="5"/>
      <c r="Z126" s="5"/>
      <c r="AA126" s="5"/>
      <c r="AB126" s="5"/>
      <c r="AC126" s="5"/>
      <c r="AD126" s="8"/>
      <c r="AE126" s="6"/>
      <c r="AF126" s="6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24:49">
      <c r="X127" s="5"/>
      <c r="Y127" s="5"/>
      <c r="Z127" s="5"/>
      <c r="AA127" s="5"/>
      <c r="AB127" s="5"/>
      <c r="AC127" s="5"/>
      <c r="AD127" s="8"/>
      <c r="AE127" s="6"/>
      <c r="AF127" s="6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24:49">
      <c r="X128" s="5"/>
      <c r="Y128" s="5"/>
      <c r="Z128" s="5"/>
      <c r="AA128" s="5"/>
      <c r="AB128" s="5"/>
      <c r="AC128" s="5"/>
      <c r="AD128" s="8"/>
      <c r="AE128" s="6"/>
      <c r="AF128" s="6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24:49">
      <c r="X129" s="5"/>
      <c r="Y129" s="5"/>
      <c r="Z129" s="5"/>
      <c r="AA129" s="5"/>
      <c r="AB129" s="5"/>
      <c r="AC129" s="5"/>
      <c r="AD129" s="8"/>
      <c r="AE129" s="6"/>
      <c r="AF129" s="6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24:49">
      <c r="X130" s="5"/>
      <c r="Y130" s="5"/>
      <c r="Z130" s="5"/>
      <c r="AA130" s="5"/>
      <c r="AB130" s="5"/>
      <c r="AC130" s="5"/>
      <c r="AD130" s="8"/>
      <c r="AE130" s="6"/>
      <c r="AF130" s="6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24:49">
      <c r="X131" s="5"/>
      <c r="Y131" s="5"/>
      <c r="Z131" s="5"/>
      <c r="AA131" s="5"/>
      <c r="AB131" s="5"/>
      <c r="AC131" s="5"/>
      <c r="AD131" s="8"/>
      <c r="AE131" s="6"/>
      <c r="AF131" s="6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24:49">
      <c r="X132" s="5"/>
      <c r="Y132" s="5"/>
      <c r="Z132" s="5"/>
      <c r="AA132" s="5"/>
      <c r="AB132" s="5"/>
      <c r="AC132" s="5"/>
      <c r="AD132" s="8"/>
      <c r="AE132" s="6"/>
      <c r="AF132" s="6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24:49">
      <c r="X133" s="5"/>
      <c r="Y133" s="5"/>
      <c r="Z133" s="5"/>
      <c r="AA133" s="5"/>
      <c r="AB133" s="5"/>
      <c r="AC133" s="5"/>
      <c r="AD133" s="8"/>
      <c r="AE133" s="6"/>
      <c r="AF133" s="6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24:49">
      <c r="X134" s="5"/>
      <c r="Y134" s="5"/>
      <c r="Z134" s="5"/>
      <c r="AA134" s="5"/>
      <c r="AB134" s="5"/>
      <c r="AC134" s="5"/>
      <c r="AD134" s="8"/>
      <c r="AE134" s="6"/>
      <c r="AF134" s="6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24:49">
      <c r="X135" s="5"/>
      <c r="Y135" s="5"/>
      <c r="Z135" s="5"/>
      <c r="AA135" s="5"/>
      <c r="AB135" s="5"/>
      <c r="AC135" s="5"/>
      <c r="AD135" s="8"/>
      <c r="AE135" s="6"/>
      <c r="AF135" s="6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24:49">
      <c r="X136" s="5"/>
      <c r="Y136" s="5"/>
      <c r="Z136" s="5"/>
      <c r="AA136" s="5"/>
      <c r="AB136" s="5"/>
      <c r="AC136" s="5"/>
      <c r="AD136" s="8"/>
      <c r="AE136" s="6"/>
      <c r="AF136" s="6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24:49">
      <c r="X137" s="5"/>
      <c r="Y137" s="5"/>
      <c r="Z137" s="5"/>
      <c r="AA137" s="5"/>
      <c r="AB137" s="5"/>
      <c r="AC137" s="5"/>
      <c r="AD137" s="8"/>
      <c r="AE137" s="6"/>
      <c r="AF137" s="6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24:49">
      <c r="X138" s="5"/>
      <c r="Y138" s="5"/>
      <c r="Z138" s="5"/>
      <c r="AA138" s="5"/>
      <c r="AB138" s="5"/>
      <c r="AC138" s="5"/>
      <c r="AD138" s="8"/>
      <c r="AE138" s="6"/>
      <c r="AF138" s="6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24:49">
      <c r="X139" s="5"/>
      <c r="Y139" s="5"/>
      <c r="Z139" s="5"/>
      <c r="AA139" s="5"/>
      <c r="AB139" s="5"/>
      <c r="AC139" s="5"/>
      <c r="AD139" s="8"/>
      <c r="AE139" s="6"/>
      <c r="AF139" s="6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24:49">
      <c r="X140" s="5"/>
      <c r="Y140" s="5"/>
      <c r="Z140" s="5"/>
      <c r="AA140" s="5"/>
      <c r="AB140" s="5"/>
      <c r="AC140" s="5"/>
      <c r="AD140" s="8"/>
      <c r="AE140" s="6"/>
      <c r="AF140" s="6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24:49">
      <c r="X141" s="5"/>
      <c r="Y141" s="5"/>
      <c r="Z141" s="5"/>
      <c r="AA141" s="5"/>
      <c r="AB141" s="5"/>
      <c r="AC141" s="5"/>
      <c r="AD141" s="8"/>
      <c r="AE141" s="6"/>
      <c r="AF141" s="6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24:49">
      <c r="X142" s="5"/>
      <c r="Y142" s="5"/>
      <c r="Z142" s="5"/>
      <c r="AA142" s="5"/>
      <c r="AB142" s="5"/>
      <c r="AC142" s="5"/>
      <c r="AD142" s="8"/>
      <c r="AE142" s="6"/>
      <c r="AF142" s="6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24:49">
      <c r="X143" s="5"/>
      <c r="Y143" s="5"/>
      <c r="Z143" s="5"/>
      <c r="AA143" s="5"/>
      <c r="AB143" s="5"/>
      <c r="AC143" s="5"/>
      <c r="AD143" s="8"/>
      <c r="AE143" s="6"/>
      <c r="AF143" s="6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24:49">
      <c r="X144" s="5"/>
      <c r="Y144" s="5"/>
      <c r="Z144" s="5"/>
      <c r="AA144" s="5"/>
      <c r="AB144" s="5"/>
      <c r="AC144" s="5"/>
      <c r="AD144" s="8"/>
      <c r="AE144" s="6"/>
      <c r="AF144" s="6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24:49">
      <c r="X145" s="5"/>
      <c r="Y145" s="5"/>
      <c r="Z145" s="5"/>
      <c r="AA145" s="5"/>
      <c r="AB145" s="5"/>
      <c r="AC145" s="5"/>
      <c r="AD145" s="8"/>
      <c r="AE145" s="6"/>
      <c r="AF145" s="6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24:49">
      <c r="X146" s="5"/>
      <c r="Y146" s="5"/>
      <c r="Z146" s="5"/>
      <c r="AA146" s="5"/>
      <c r="AB146" s="5"/>
      <c r="AC146" s="5"/>
      <c r="AD146" s="8"/>
      <c r="AE146" s="6"/>
      <c r="AF146" s="6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24:49">
      <c r="X147" s="5"/>
      <c r="Y147" s="5"/>
      <c r="Z147" s="5"/>
      <c r="AA147" s="5"/>
      <c r="AB147" s="5"/>
      <c r="AC147" s="5"/>
      <c r="AD147" s="8"/>
      <c r="AE147" s="6"/>
      <c r="AF147" s="6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24:49">
      <c r="X148" s="5"/>
      <c r="Y148" s="5"/>
      <c r="Z148" s="5"/>
      <c r="AA148" s="5"/>
      <c r="AB148" s="5"/>
      <c r="AC148" s="5"/>
      <c r="AD148" s="8"/>
      <c r="AE148" s="6"/>
      <c r="AF148" s="6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24:49">
      <c r="X149" s="5"/>
      <c r="Y149" s="5"/>
      <c r="Z149" s="5"/>
      <c r="AA149" s="5"/>
      <c r="AB149" s="5"/>
      <c r="AC149" s="5"/>
      <c r="AD149" s="8"/>
      <c r="AE149" s="6"/>
      <c r="AF149" s="6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24:49">
      <c r="X150" s="5"/>
      <c r="Y150" s="5"/>
      <c r="Z150" s="5"/>
      <c r="AA150" s="5"/>
      <c r="AB150" s="5"/>
      <c r="AC150" s="5"/>
      <c r="AD150" s="8"/>
      <c r="AE150" s="6"/>
      <c r="AF150" s="6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24:49">
      <c r="X151" s="5"/>
      <c r="Y151" s="5"/>
      <c r="Z151" s="5"/>
      <c r="AA151" s="5"/>
      <c r="AB151" s="5"/>
      <c r="AC151" s="5"/>
      <c r="AD151" s="8"/>
      <c r="AE151" s="6"/>
      <c r="AF151" s="6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24:49">
      <c r="X152" s="5"/>
      <c r="Y152" s="5"/>
      <c r="Z152" s="5"/>
      <c r="AA152" s="5"/>
      <c r="AB152" s="5"/>
      <c r="AC152" s="5"/>
      <c r="AD152" s="8"/>
      <c r="AE152" s="6"/>
      <c r="AF152" s="6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24:49">
      <c r="X153" s="5"/>
      <c r="Y153" s="5"/>
      <c r="Z153" s="5"/>
      <c r="AA153" s="5"/>
      <c r="AB153" s="5"/>
      <c r="AC153" s="5"/>
      <c r="AD153" s="8"/>
      <c r="AE153" s="6"/>
      <c r="AF153" s="6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24:49">
      <c r="X154" s="5"/>
      <c r="Y154" s="5"/>
      <c r="Z154" s="5"/>
      <c r="AA154" s="5"/>
      <c r="AB154" s="5"/>
      <c r="AC154" s="5"/>
      <c r="AD154" s="8"/>
      <c r="AE154" s="6"/>
      <c r="AF154" s="6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24:49">
      <c r="X155" s="5"/>
      <c r="Y155" s="5"/>
      <c r="Z155" s="5"/>
      <c r="AA155" s="5"/>
      <c r="AB155" s="5"/>
      <c r="AC155" s="5"/>
      <c r="AD155" s="8"/>
      <c r="AE155" s="6"/>
      <c r="AF155" s="6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24:49">
      <c r="X156" s="5"/>
      <c r="Y156" s="5"/>
      <c r="Z156" s="5"/>
      <c r="AA156" s="5"/>
      <c r="AB156" s="5"/>
      <c r="AC156" s="5"/>
      <c r="AD156" s="8"/>
      <c r="AE156" s="6"/>
      <c r="AF156" s="6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24:49">
      <c r="X157" s="5"/>
      <c r="Y157" s="5"/>
      <c r="Z157" s="5"/>
      <c r="AA157" s="5"/>
      <c r="AB157" s="5"/>
      <c r="AC157" s="5"/>
      <c r="AD157" s="8"/>
      <c r="AE157" s="6"/>
      <c r="AF157" s="6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24:49">
      <c r="X158" s="5"/>
      <c r="Y158" s="5"/>
      <c r="Z158" s="5"/>
      <c r="AA158" s="5"/>
      <c r="AB158" s="5"/>
      <c r="AC158" s="5"/>
      <c r="AD158" s="8"/>
      <c r="AE158" s="6"/>
      <c r="AF158" s="6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24:49">
      <c r="X159" s="5"/>
      <c r="Y159" s="5"/>
      <c r="Z159" s="5"/>
      <c r="AA159" s="5"/>
      <c r="AB159" s="5"/>
      <c r="AC159" s="5"/>
      <c r="AD159" s="8"/>
      <c r="AE159" s="6"/>
      <c r="AF159" s="6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24:49">
      <c r="X160" s="5"/>
      <c r="Y160" s="5"/>
      <c r="Z160" s="5"/>
      <c r="AA160" s="5"/>
      <c r="AB160" s="5"/>
      <c r="AC160" s="5"/>
      <c r="AD160" s="8"/>
      <c r="AE160" s="6"/>
      <c r="AF160" s="6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24:49">
      <c r="X161" s="5"/>
      <c r="Y161" s="5"/>
      <c r="Z161" s="5"/>
      <c r="AA161" s="5"/>
      <c r="AB161" s="5"/>
      <c r="AC161" s="5"/>
      <c r="AD161" s="8"/>
      <c r="AE161" s="6"/>
      <c r="AF161" s="6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24:49">
      <c r="X162" s="5"/>
      <c r="Y162" s="5"/>
      <c r="Z162" s="5"/>
      <c r="AA162" s="5"/>
      <c r="AB162" s="5"/>
      <c r="AC162" s="5"/>
      <c r="AD162" s="8"/>
      <c r="AE162" s="6"/>
      <c r="AF162" s="6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24:49">
      <c r="X163" s="5"/>
      <c r="Y163" s="5"/>
      <c r="Z163" s="5"/>
      <c r="AA163" s="5"/>
      <c r="AB163" s="5"/>
      <c r="AC163" s="5"/>
      <c r="AD163" s="8"/>
      <c r="AE163" s="6"/>
      <c r="AF163" s="6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24:49">
      <c r="X164" s="5"/>
      <c r="Y164" s="5"/>
      <c r="Z164" s="5"/>
      <c r="AA164" s="5"/>
      <c r="AB164" s="5"/>
      <c r="AC164" s="5"/>
      <c r="AD164" s="8"/>
      <c r="AE164" s="6"/>
      <c r="AF164" s="6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24:49">
      <c r="X165" s="5"/>
      <c r="Y165" s="5"/>
      <c r="Z165" s="5"/>
      <c r="AA165" s="5"/>
      <c r="AB165" s="5"/>
      <c r="AC165" s="5"/>
      <c r="AD165" s="8"/>
      <c r="AE165" s="6"/>
      <c r="AF165" s="6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24:49">
      <c r="X166" s="5"/>
      <c r="Y166" s="5"/>
      <c r="Z166" s="5"/>
      <c r="AA166" s="5"/>
      <c r="AB166" s="5"/>
      <c r="AC166" s="5"/>
      <c r="AD166" s="8"/>
      <c r="AE166" s="6"/>
      <c r="AF166" s="6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24:49">
      <c r="X167" s="5"/>
      <c r="Y167" s="5"/>
      <c r="Z167" s="5"/>
      <c r="AA167" s="5"/>
      <c r="AB167" s="5"/>
      <c r="AC167" s="5"/>
      <c r="AD167" s="8"/>
      <c r="AE167" s="6"/>
      <c r="AF167" s="6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24:49">
      <c r="X168" s="5"/>
      <c r="Y168" s="5"/>
      <c r="Z168" s="5"/>
      <c r="AA168" s="5"/>
      <c r="AB168" s="5"/>
      <c r="AC168" s="5"/>
      <c r="AD168" s="8"/>
      <c r="AE168" s="6"/>
      <c r="AF168" s="6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24:49">
      <c r="X169" s="5"/>
      <c r="Y169" s="5"/>
      <c r="Z169" s="5"/>
      <c r="AA169" s="5"/>
      <c r="AB169" s="5"/>
      <c r="AC169" s="5"/>
      <c r="AD169" s="8"/>
      <c r="AE169" s="6"/>
      <c r="AF169" s="6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24:49">
      <c r="X170" s="5"/>
      <c r="Y170" s="5"/>
      <c r="Z170" s="5"/>
      <c r="AA170" s="5"/>
      <c r="AB170" s="5"/>
      <c r="AC170" s="5"/>
      <c r="AD170" s="8"/>
      <c r="AE170" s="6"/>
      <c r="AF170" s="6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24:49">
      <c r="X171" s="5"/>
      <c r="Y171" s="5"/>
      <c r="Z171" s="5"/>
      <c r="AA171" s="5"/>
      <c r="AB171" s="5"/>
      <c r="AC171" s="5"/>
      <c r="AD171" s="8"/>
      <c r="AE171" s="6"/>
      <c r="AF171" s="6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24:49">
      <c r="X172" s="5"/>
      <c r="Y172" s="5"/>
      <c r="Z172" s="5"/>
      <c r="AA172" s="5"/>
      <c r="AB172" s="5"/>
      <c r="AC172" s="5"/>
      <c r="AD172" s="8"/>
      <c r="AE172" s="6"/>
      <c r="AF172" s="6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24:49">
      <c r="X173" s="5"/>
      <c r="Y173" s="5"/>
      <c r="Z173" s="5"/>
      <c r="AA173" s="5"/>
      <c r="AB173" s="5"/>
      <c r="AC173" s="5"/>
      <c r="AD173" s="8"/>
      <c r="AE173" s="6"/>
      <c r="AF173" s="6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24:49">
      <c r="X174" s="5"/>
      <c r="Y174" s="5"/>
      <c r="Z174" s="5"/>
      <c r="AA174" s="5"/>
      <c r="AB174" s="5"/>
      <c r="AC174" s="5"/>
      <c r="AD174" s="8"/>
      <c r="AE174" s="6"/>
      <c r="AF174" s="6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24:49">
      <c r="X175" s="5"/>
      <c r="Y175" s="5"/>
      <c r="Z175" s="5"/>
      <c r="AA175" s="5"/>
      <c r="AB175" s="5"/>
      <c r="AC175" s="5"/>
      <c r="AD175" s="8"/>
      <c r="AE175" s="6"/>
      <c r="AF175" s="6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24:49">
      <c r="X176" s="5"/>
      <c r="Y176" s="5"/>
      <c r="Z176" s="5"/>
      <c r="AA176" s="5"/>
      <c r="AB176" s="5"/>
      <c r="AC176" s="5"/>
      <c r="AD176" s="8"/>
      <c r="AE176" s="6"/>
      <c r="AF176" s="6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24:49">
      <c r="X177" s="5"/>
      <c r="Y177" s="5"/>
      <c r="Z177" s="5"/>
      <c r="AA177" s="5"/>
      <c r="AB177" s="5"/>
      <c r="AC177" s="5"/>
      <c r="AD177" s="8"/>
      <c r="AE177" s="6"/>
      <c r="AF177" s="6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24:49">
      <c r="X178" s="5"/>
      <c r="Y178" s="5"/>
      <c r="Z178" s="5"/>
      <c r="AA178" s="5"/>
      <c r="AB178" s="5"/>
      <c r="AC178" s="5"/>
      <c r="AD178" s="8"/>
      <c r="AE178" s="6"/>
      <c r="AF178" s="6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24:49">
      <c r="X179" s="5"/>
      <c r="Y179" s="5"/>
      <c r="Z179" s="5"/>
      <c r="AA179" s="5"/>
      <c r="AB179" s="5"/>
      <c r="AC179" s="5"/>
      <c r="AD179" s="8"/>
      <c r="AE179" s="6"/>
      <c r="AF179" s="6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24:49">
      <c r="X180" s="5"/>
      <c r="Y180" s="5"/>
      <c r="Z180" s="5"/>
      <c r="AA180" s="5"/>
      <c r="AB180" s="5"/>
      <c r="AC180" s="5"/>
      <c r="AD180" s="8"/>
      <c r="AE180" s="6"/>
      <c r="AF180" s="6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24:49">
      <c r="X181" s="5"/>
      <c r="Y181" s="5"/>
      <c r="Z181" s="5"/>
      <c r="AA181" s="5"/>
      <c r="AB181" s="5"/>
      <c r="AC181" s="5"/>
      <c r="AD181" s="8"/>
      <c r="AE181" s="6"/>
      <c r="AF181" s="6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24:49">
      <c r="X182" s="5"/>
      <c r="Y182" s="5"/>
      <c r="Z182" s="5"/>
      <c r="AA182" s="5"/>
      <c r="AB182" s="5"/>
      <c r="AC182" s="5"/>
      <c r="AD182" s="8"/>
      <c r="AE182" s="6"/>
      <c r="AF182" s="6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24:49">
      <c r="X183" s="5"/>
      <c r="Y183" s="5"/>
      <c r="Z183" s="5"/>
      <c r="AA183" s="5"/>
      <c r="AB183" s="5"/>
      <c r="AC183" s="5"/>
      <c r="AD183" s="8"/>
      <c r="AE183" s="6"/>
      <c r="AF183" s="6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24:49">
      <c r="X184" s="5"/>
      <c r="Y184" s="5"/>
      <c r="Z184" s="5"/>
      <c r="AA184" s="5"/>
      <c r="AB184" s="5"/>
      <c r="AC184" s="5"/>
      <c r="AD184" s="8"/>
      <c r="AE184" s="6"/>
      <c r="AF184" s="6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24:49">
      <c r="X185" s="5"/>
      <c r="Y185" s="5"/>
      <c r="Z185" s="5"/>
      <c r="AA185" s="5"/>
      <c r="AB185" s="5"/>
      <c r="AC185" s="5"/>
      <c r="AD185" s="8"/>
      <c r="AE185" s="6"/>
      <c r="AF185" s="6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24:49">
      <c r="X186" s="5"/>
      <c r="Y186" s="5"/>
      <c r="Z186" s="5"/>
      <c r="AA186" s="5"/>
      <c r="AB186" s="5"/>
      <c r="AC186" s="5"/>
      <c r="AD186" s="8"/>
      <c r="AE186" s="6"/>
      <c r="AF186" s="6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24:49">
      <c r="X187" s="5"/>
      <c r="Y187" s="5"/>
      <c r="Z187" s="5"/>
      <c r="AA187" s="5"/>
      <c r="AB187" s="5"/>
      <c r="AC187" s="5"/>
      <c r="AD187" s="8"/>
      <c r="AE187" s="6"/>
      <c r="AF187" s="6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24:49">
      <c r="X188" s="5"/>
      <c r="Y188" s="5"/>
      <c r="Z188" s="5"/>
      <c r="AA188" s="5"/>
      <c r="AB188" s="5"/>
      <c r="AC188" s="5"/>
      <c r="AD188" s="8"/>
      <c r="AE188" s="6"/>
      <c r="AF188" s="6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24:49">
      <c r="X189" s="5"/>
      <c r="Y189" s="5"/>
      <c r="Z189" s="5"/>
      <c r="AA189" s="5"/>
      <c r="AB189" s="5"/>
      <c r="AC189" s="5"/>
      <c r="AD189" s="8"/>
      <c r="AE189" s="6"/>
      <c r="AF189" s="6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24:49">
      <c r="X190" s="5"/>
      <c r="Y190" s="5"/>
      <c r="Z190" s="5"/>
      <c r="AA190" s="5"/>
      <c r="AB190" s="5"/>
      <c r="AC190" s="5"/>
      <c r="AD190" s="8"/>
      <c r="AE190" s="6"/>
      <c r="AF190" s="6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24:49">
      <c r="X191" s="5"/>
      <c r="Y191" s="5"/>
      <c r="Z191" s="5"/>
      <c r="AA191" s="5"/>
      <c r="AB191" s="5"/>
      <c r="AC191" s="5"/>
      <c r="AD191" s="8"/>
      <c r="AE191" s="6"/>
      <c r="AF191" s="6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24:49">
      <c r="X192" s="5"/>
      <c r="Y192" s="5"/>
      <c r="Z192" s="5"/>
      <c r="AA192" s="5"/>
      <c r="AB192" s="5"/>
      <c r="AC192" s="5"/>
      <c r="AD192" s="8"/>
      <c r="AE192" s="6"/>
      <c r="AF192" s="6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24:49">
      <c r="X193" s="5"/>
      <c r="Y193" s="5"/>
      <c r="Z193" s="5"/>
      <c r="AA193" s="5"/>
      <c r="AB193" s="5"/>
      <c r="AC193" s="5"/>
      <c r="AD193" s="8"/>
      <c r="AE193" s="6"/>
      <c r="AF193" s="6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24:49">
      <c r="X194" s="5"/>
      <c r="Y194" s="5"/>
      <c r="Z194" s="5"/>
      <c r="AA194" s="5"/>
      <c r="AB194" s="5"/>
      <c r="AC194" s="5"/>
      <c r="AD194" s="8"/>
      <c r="AE194" s="6"/>
      <c r="AF194" s="6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24:49">
      <c r="X195" s="5"/>
      <c r="Y195" s="5"/>
      <c r="Z195" s="5"/>
      <c r="AA195" s="5"/>
      <c r="AB195" s="5"/>
      <c r="AC195" s="5"/>
      <c r="AD195" s="8"/>
      <c r="AE195" s="6"/>
      <c r="AF195" s="6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24:49">
      <c r="X196" s="5"/>
      <c r="Y196" s="5"/>
      <c r="Z196" s="5"/>
      <c r="AA196" s="5"/>
      <c r="AB196" s="5"/>
      <c r="AC196" s="5"/>
      <c r="AD196" s="8"/>
      <c r="AE196" s="6"/>
      <c r="AF196" s="6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24:49">
      <c r="X197" s="5"/>
      <c r="Y197" s="5"/>
      <c r="Z197" s="5"/>
      <c r="AA197" s="5"/>
      <c r="AB197" s="5"/>
      <c r="AC197" s="5"/>
      <c r="AD197" s="8"/>
      <c r="AE197" s="6"/>
      <c r="AF197" s="6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</sheetData>
  <mergeCells count="2">
    <mergeCell ref="A2:O2"/>
    <mergeCell ref="A1:O1"/>
  </mergeCells>
  <phoneticPr fontId="9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82"/>
  <sheetViews>
    <sheetView workbookViewId="0">
      <selection activeCell="A4" sqref="A4:XFD109"/>
    </sheetView>
  </sheetViews>
  <sheetFormatPr defaultRowHeight="13.8"/>
  <cols>
    <col min="1" max="1" width="18.09765625" bestFit="1" customWidth="1"/>
    <col min="2" max="2" width="19.09765625" bestFit="1" customWidth="1"/>
    <col min="3" max="3" width="16.69921875" bestFit="1" customWidth="1"/>
    <col min="4" max="4" width="14.19921875" bestFit="1" customWidth="1"/>
    <col min="5" max="5" width="18" bestFit="1" customWidth="1"/>
    <col min="6" max="6" width="45.796875" bestFit="1" customWidth="1"/>
    <col min="7" max="7" width="20.69921875" bestFit="1" customWidth="1"/>
    <col min="8" max="8" width="20" bestFit="1" customWidth="1"/>
    <col min="9" max="9" width="22.3984375" bestFit="1" customWidth="1"/>
    <col min="10" max="10" width="21.59765625" bestFit="1" customWidth="1"/>
    <col min="11" max="11" width="18.8984375" bestFit="1" customWidth="1"/>
    <col min="12" max="12" width="22.296875" bestFit="1" customWidth="1"/>
    <col min="13" max="13" width="24.296875" bestFit="1" customWidth="1"/>
    <col min="14" max="14" width="26.296875" bestFit="1" customWidth="1"/>
    <col min="15" max="15" width="26.69921875" bestFit="1" customWidth="1"/>
  </cols>
  <sheetData>
    <row r="1" spans="1:32" ht="27.15" customHeight="1">
      <c r="A1" s="29" t="s">
        <v>37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22.35" customHeight="1">
      <c r="A2" s="30" t="s">
        <v>38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s="5" t="s">
        <v>39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  <c r="O3" t="s">
        <v>97</v>
      </c>
      <c r="P3" s="5"/>
      <c r="Q3" s="5"/>
      <c r="R3" s="5"/>
      <c r="S3" s="5"/>
      <c r="T3" s="5"/>
      <c r="U3" s="5"/>
      <c r="V3" s="5"/>
      <c r="W3" s="5"/>
      <c r="X3" s="5"/>
    </row>
    <row r="4" spans="1:32">
      <c r="F4" s="5"/>
      <c r="G4" s="22"/>
      <c r="H4" s="22"/>
      <c r="P4" s="5"/>
      <c r="Q4" s="5"/>
      <c r="R4" s="5"/>
      <c r="S4" s="5"/>
      <c r="T4" s="5"/>
      <c r="U4" s="5"/>
      <c r="V4" s="5"/>
      <c r="W4" s="5"/>
      <c r="X4" s="5"/>
    </row>
    <row r="5" spans="1:32">
      <c r="F5" s="5"/>
      <c r="G5" s="22"/>
      <c r="H5" s="22"/>
      <c r="P5" s="5"/>
      <c r="Q5" s="5"/>
      <c r="R5" s="5"/>
      <c r="S5" s="5"/>
      <c r="T5" s="5"/>
      <c r="U5" s="5"/>
      <c r="V5" s="5"/>
      <c r="W5" s="5"/>
      <c r="X5" s="5"/>
    </row>
    <row r="6" spans="1:32">
      <c r="F6" s="5"/>
      <c r="G6" s="22"/>
      <c r="H6" s="22"/>
      <c r="P6" s="5"/>
      <c r="Q6" s="5"/>
      <c r="R6" s="5"/>
      <c r="S6" s="5"/>
      <c r="T6" s="5"/>
      <c r="U6" s="5"/>
      <c r="V6" s="5"/>
      <c r="W6" s="5"/>
      <c r="X6" s="5"/>
    </row>
    <row r="7" spans="1:32">
      <c r="F7" s="5"/>
      <c r="G7" s="22"/>
      <c r="H7" s="22"/>
      <c r="P7" s="5"/>
      <c r="Q7" s="5"/>
      <c r="R7" s="5"/>
      <c r="S7" s="5"/>
      <c r="T7" s="5"/>
      <c r="U7" s="5"/>
      <c r="V7" s="5"/>
      <c r="W7" s="5"/>
      <c r="X7" s="5"/>
    </row>
    <row r="8" spans="1:32">
      <c r="F8" s="5"/>
      <c r="G8" s="22"/>
      <c r="H8" s="22"/>
      <c r="P8" s="5"/>
      <c r="Q8" s="5"/>
      <c r="R8" s="5"/>
      <c r="S8" s="5"/>
      <c r="T8" s="5"/>
      <c r="U8" s="5"/>
      <c r="V8" s="5"/>
      <c r="W8" s="5"/>
      <c r="X8" s="5"/>
    </row>
    <row r="9" spans="1:32">
      <c r="F9" s="5"/>
      <c r="G9" s="22"/>
      <c r="H9" s="22"/>
      <c r="P9" s="5"/>
      <c r="Q9" s="5"/>
      <c r="R9" s="5"/>
      <c r="S9" s="5"/>
      <c r="T9" s="5"/>
      <c r="U9" s="5"/>
      <c r="V9" s="5"/>
      <c r="W9" s="5"/>
      <c r="X9" s="5"/>
    </row>
    <row r="10" spans="1:32">
      <c r="F10" s="5"/>
      <c r="G10" s="22"/>
      <c r="H10" s="22"/>
      <c r="P10" s="5"/>
      <c r="Q10" s="5"/>
      <c r="R10" s="5"/>
      <c r="S10" s="5"/>
      <c r="T10" s="5"/>
      <c r="U10" s="5"/>
      <c r="V10" s="5"/>
      <c r="W10" s="5"/>
      <c r="X10" s="5"/>
    </row>
    <row r="11" spans="1:32">
      <c r="F11" s="5"/>
      <c r="G11" s="22"/>
      <c r="H11" s="22"/>
      <c r="P11" s="5"/>
      <c r="Q11" s="5"/>
      <c r="R11" s="5"/>
      <c r="S11" s="5"/>
      <c r="T11" s="5"/>
      <c r="U11" s="5"/>
      <c r="V11" s="5"/>
      <c r="W11" s="5"/>
      <c r="X11" s="5"/>
    </row>
    <row r="12" spans="1:32">
      <c r="F12" s="5"/>
      <c r="G12" s="22"/>
      <c r="H12" s="22"/>
      <c r="P12" s="5"/>
      <c r="Q12" s="5"/>
      <c r="R12" s="5"/>
      <c r="S12" s="5"/>
      <c r="T12" s="5"/>
      <c r="U12" s="5"/>
      <c r="V12" s="5"/>
      <c r="W12" s="5"/>
      <c r="X12" s="5"/>
    </row>
    <row r="13" spans="1:32">
      <c r="F13" s="5"/>
      <c r="G13" s="22"/>
      <c r="H13" s="22"/>
      <c r="P13" s="5"/>
      <c r="Q13" s="5"/>
      <c r="R13" s="5"/>
      <c r="S13" s="5"/>
      <c r="T13" s="5"/>
      <c r="U13" s="5"/>
      <c r="V13" s="5"/>
      <c r="W13" s="5"/>
      <c r="X13" s="5"/>
    </row>
    <row r="14" spans="1:32">
      <c r="F14" s="5"/>
      <c r="G14" s="22"/>
      <c r="H14" s="22"/>
      <c r="P14" s="5"/>
      <c r="Q14" s="5"/>
      <c r="R14" s="5"/>
      <c r="S14" s="5"/>
      <c r="T14" s="5"/>
      <c r="U14" s="5"/>
      <c r="V14" s="5"/>
      <c r="W14" s="5"/>
      <c r="X14" s="5"/>
    </row>
    <row r="15" spans="1:32">
      <c r="F15" s="5"/>
      <c r="G15" s="22"/>
      <c r="H15" s="22"/>
      <c r="P15" s="5"/>
      <c r="Q15" s="5"/>
      <c r="R15" s="5"/>
      <c r="S15" s="5"/>
      <c r="T15" s="5"/>
      <c r="U15" s="5"/>
      <c r="V15" s="5"/>
      <c r="W15" s="5"/>
      <c r="X15" s="5"/>
    </row>
    <row r="16" spans="1:32">
      <c r="F16" s="5"/>
      <c r="G16" s="22"/>
      <c r="H16" s="22"/>
      <c r="P16" s="5"/>
      <c r="Q16" s="5"/>
      <c r="R16" s="5"/>
      <c r="S16" s="5"/>
      <c r="T16" s="5"/>
      <c r="U16" s="5"/>
      <c r="V16" s="5"/>
      <c r="W16" s="5"/>
      <c r="X16" s="5"/>
    </row>
    <row r="17" spans="6:24">
      <c r="F17" s="5"/>
      <c r="G17" s="22"/>
      <c r="H17" s="22"/>
      <c r="P17" s="5"/>
      <c r="Q17" s="5"/>
      <c r="R17" s="5"/>
      <c r="S17" s="5"/>
      <c r="T17" s="5"/>
      <c r="U17" s="5"/>
      <c r="V17" s="5"/>
      <c r="W17" s="5"/>
      <c r="X17" s="5"/>
    </row>
    <row r="18" spans="6:24">
      <c r="F18" s="5"/>
      <c r="G18" s="22"/>
      <c r="H18" s="22"/>
      <c r="P18" s="5"/>
      <c r="Q18" s="5"/>
      <c r="R18" s="5"/>
      <c r="S18" s="5"/>
      <c r="T18" s="5"/>
      <c r="U18" s="5"/>
      <c r="V18" s="5"/>
      <c r="W18" s="5"/>
      <c r="X18" s="5"/>
    </row>
    <row r="19" spans="6:24">
      <c r="F19" s="5"/>
      <c r="G19" s="22"/>
      <c r="H19" s="22"/>
      <c r="P19" s="5"/>
      <c r="Q19" s="5"/>
      <c r="R19" s="5"/>
      <c r="S19" s="5"/>
      <c r="T19" s="5"/>
      <c r="U19" s="5"/>
      <c r="V19" s="5"/>
      <c r="W19" s="5"/>
      <c r="X19" s="5"/>
    </row>
    <row r="20" spans="6:24">
      <c r="F20" s="5"/>
      <c r="G20" s="22"/>
      <c r="H20" s="22"/>
      <c r="P20" s="5"/>
      <c r="Q20" s="5"/>
      <c r="R20" s="5"/>
      <c r="S20" s="5"/>
      <c r="T20" s="5"/>
      <c r="U20" s="5"/>
      <c r="V20" s="5"/>
      <c r="W20" s="5"/>
      <c r="X20" s="5"/>
    </row>
    <row r="21" spans="6:24">
      <c r="F21" s="5"/>
      <c r="G21" s="22"/>
      <c r="H21" s="22"/>
      <c r="P21" s="5"/>
      <c r="Q21" s="5"/>
      <c r="R21" s="5"/>
      <c r="S21" s="5"/>
      <c r="T21" s="5"/>
      <c r="U21" s="5"/>
      <c r="V21" s="5"/>
      <c r="W21" s="5"/>
      <c r="X21" s="5"/>
    </row>
    <row r="22" spans="6:24">
      <c r="F22" s="5"/>
      <c r="G22" s="22"/>
      <c r="H22" s="22"/>
      <c r="P22" s="5"/>
      <c r="Q22" s="5"/>
      <c r="R22" s="5"/>
      <c r="S22" s="5"/>
      <c r="T22" s="5"/>
      <c r="U22" s="5"/>
      <c r="V22" s="5"/>
      <c r="W22" s="5"/>
      <c r="X22" s="5"/>
    </row>
    <row r="23" spans="6:24">
      <c r="F23" s="5"/>
      <c r="G23" s="22"/>
      <c r="H23" s="22"/>
      <c r="P23" s="5"/>
      <c r="Q23" s="5"/>
      <c r="R23" s="5"/>
      <c r="S23" s="5"/>
      <c r="T23" s="5"/>
      <c r="U23" s="5"/>
      <c r="V23" s="5"/>
      <c r="W23" s="5"/>
      <c r="X23" s="5"/>
    </row>
    <row r="24" spans="6:24">
      <c r="F24" s="5"/>
      <c r="G24" s="22"/>
      <c r="H24" s="22"/>
      <c r="P24" s="5"/>
      <c r="Q24" s="5"/>
      <c r="R24" s="5"/>
      <c r="S24" s="5"/>
      <c r="T24" s="5"/>
      <c r="U24" s="5"/>
      <c r="V24" s="5"/>
      <c r="W24" s="5"/>
      <c r="X24" s="5"/>
    </row>
    <row r="25" spans="6:24">
      <c r="F25" s="5"/>
      <c r="G25" s="22"/>
      <c r="H25" s="22"/>
      <c r="P25" s="5"/>
      <c r="Q25" s="5"/>
      <c r="R25" s="5"/>
      <c r="S25" s="5"/>
      <c r="T25" s="5"/>
      <c r="U25" s="5"/>
      <c r="V25" s="5"/>
      <c r="W25" s="5"/>
      <c r="X25" s="5"/>
    </row>
    <row r="26" spans="6:24">
      <c r="F26" s="5"/>
      <c r="G26" s="22"/>
      <c r="H26" s="22"/>
      <c r="P26" s="5"/>
      <c r="Q26" s="5"/>
      <c r="R26" s="5"/>
      <c r="S26" s="5"/>
      <c r="T26" s="5"/>
      <c r="U26" s="5"/>
      <c r="V26" s="5"/>
      <c r="W26" s="5"/>
      <c r="X26" s="5"/>
    </row>
    <row r="27" spans="6:24">
      <c r="F27" s="5"/>
      <c r="G27" s="22"/>
      <c r="H27" s="22"/>
      <c r="P27" s="5"/>
      <c r="Q27" s="5"/>
      <c r="R27" s="5"/>
      <c r="S27" s="5"/>
      <c r="T27" s="5"/>
      <c r="U27" s="5"/>
      <c r="V27" s="5"/>
      <c r="W27" s="5"/>
      <c r="X27" s="5"/>
    </row>
    <row r="28" spans="6:24">
      <c r="F28" s="5"/>
      <c r="G28" s="22"/>
      <c r="H28" s="22"/>
      <c r="P28" s="5"/>
      <c r="Q28" s="5"/>
      <c r="R28" s="5"/>
      <c r="S28" s="5"/>
      <c r="T28" s="5"/>
      <c r="U28" s="5"/>
      <c r="V28" s="5"/>
      <c r="W28" s="5"/>
      <c r="X28" s="5"/>
    </row>
    <row r="29" spans="6:24">
      <c r="F29" s="5"/>
      <c r="G29" s="22"/>
      <c r="H29" s="22"/>
      <c r="P29" s="5"/>
      <c r="Q29" s="5"/>
      <c r="R29" s="5"/>
      <c r="S29" s="5"/>
      <c r="T29" s="5"/>
      <c r="U29" s="5"/>
      <c r="V29" s="5"/>
      <c r="W29" s="5"/>
      <c r="X29" s="5"/>
    </row>
    <row r="30" spans="6:24">
      <c r="F30" s="5"/>
      <c r="G30" s="22"/>
      <c r="H30" s="22"/>
      <c r="P30" s="5"/>
      <c r="Q30" s="5"/>
      <c r="R30" s="5"/>
      <c r="S30" s="5"/>
      <c r="T30" s="5"/>
      <c r="U30" s="5"/>
      <c r="V30" s="5"/>
      <c r="W30" s="5"/>
      <c r="X30" s="5"/>
    </row>
    <row r="31" spans="6:24">
      <c r="F31" s="5"/>
      <c r="G31" s="22"/>
      <c r="H31" s="22"/>
      <c r="P31" s="5"/>
      <c r="Q31" s="5"/>
      <c r="R31" s="5"/>
      <c r="S31" s="5"/>
      <c r="T31" s="5"/>
      <c r="U31" s="5"/>
      <c r="V31" s="5"/>
      <c r="W31" s="5"/>
      <c r="X31" s="5"/>
    </row>
    <row r="32" spans="6:24">
      <c r="F32" s="5"/>
      <c r="G32" s="22"/>
      <c r="H32" s="22"/>
      <c r="P32" s="5"/>
      <c r="Q32" s="5"/>
      <c r="R32" s="5"/>
      <c r="S32" s="5"/>
      <c r="T32" s="5"/>
      <c r="U32" s="5"/>
      <c r="V32" s="5"/>
      <c r="W32" s="5"/>
      <c r="X32" s="5"/>
    </row>
    <row r="33" spans="6:24">
      <c r="F33" s="5"/>
      <c r="G33" s="22"/>
      <c r="H33" s="22"/>
      <c r="P33" s="5"/>
      <c r="Q33" s="5"/>
      <c r="R33" s="5"/>
      <c r="S33" s="5"/>
      <c r="T33" s="5"/>
      <c r="U33" s="5"/>
      <c r="V33" s="5"/>
      <c r="W33" s="5"/>
      <c r="X33" s="5"/>
    </row>
    <row r="34" spans="6:24">
      <c r="F34" s="5"/>
      <c r="G34" s="22"/>
      <c r="H34" s="22"/>
      <c r="P34" s="5"/>
      <c r="Q34" s="5"/>
      <c r="R34" s="5"/>
      <c r="S34" s="5"/>
      <c r="T34" s="5"/>
      <c r="U34" s="5"/>
      <c r="V34" s="5"/>
      <c r="W34" s="5"/>
      <c r="X34" s="5"/>
    </row>
    <row r="35" spans="6:24">
      <c r="F35" s="5"/>
      <c r="G35" s="22"/>
      <c r="H35" s="22"/>
      <c r="P35" s="5"/>
      <c r="Q35" s="5"/>
      <c r="R35" s="5"/>
      <c r="S35" s="5"/>
      <c r="T35" s="5"/>
      <c r="U35" s="5"/>
      <c r="V35" s="5"/>
      <c r="W35" s="5"/>
      <c r="X35" s="5"/>
    </row>
    <row r="36" spans="6:24">
      <c r="F36" s="5"/>
      <c r="G36" s="22"/>
      <c r="H36" s="22"/>
      <c r="P36" s="5"/>
      <c r="Q36" s="5"/>
      <c r="R36" s="5"/>
      <c r="S36" s="5"/>
      <c r="T36" s="5"/>
      <c r="U36" s="5"/>
      <c r="V36" s="5"/>
      <c r="W36" s="5"/>
      <c r="X36" s="5"/>
    </row>
    <row r="37" spans="6:24">
      <c r="F37" s="5"/>
      <c r="G37" s="22"/>
      <c r="H37" s="22"/>
      <c r="P37" s="5"/>
      <c r="Q37" s="5"/>
      <c r="R37" s="5"/>
      <c r="S37" s="5"/>
      <c r="T37" s="5"/>
      <c r="U37" s="5"/>
      <c r="V37" s="5"/>
      <c r="W37" s="5"/>
      <c r="X37" s="5"/>
    </row>
    <row r="38" spans="6:24">
      <c r="F38" s="5"/>
      <c r="G38" s="22"/>
      <c r="H38" s="22"/>
      <c r="P38" s="5"/>
      <c r="Q38" s="5"/>
      <c r="R38" s="5"/>
      <c r="S38" s="5"/>
      <c r="T38" s="5"/>
      <c r="U38" s="5"/>
      <c r="V38" s="5"/>
      <c r="W38" s="5"/>
      <c r="X38" s="5"/>
    </row>
    <row r="39" spans="6:24">
      <c r="F39" s="5"/>
      <c r="G39" s="22"/>
      <c r="H39" s="22"/>
      <c r="P39" s="5"/>
      <c r="Q39" s="5"/>
      <c r="R39" s="5"/>
      <c r="S39" s="5"/>
      <c r="T39" s="5"/>
      <c r="U39" s="5"/>
      <c r="V39" s="5"/>
      <c r="W39" s="5"/>
      <c r="X39" s="5"/>
    </row>
    <row r="40" spans="6:24">
      <c r="F40" s="5"/>
      <c r="G40" s="22"/>
      <c r="H40" s="22"/>
      <c r="P40" s="5"/>
      <c r="Q40" s="5"/>
      <c r="R40" s="5"/>
      <c r="S40" s="5"/>
      <c r="T40" s="5"/>
      <c r="U40" s="5"/>
      <c r="V40" s="5"/>
      <c r="W40" s="5"/>
      <c r="X40" s="5"/>
    </row>
    <row r="41" spans="6:24">
      <c r="F41" s="5"/>
      <c r="G41" s="22"/>
      <c r="H41" s="22"/>
      <c r="P41" s="5"/>
      <c r="Q41" s="5"/>
      <c r="R41" s="5"/>
      <c r="S41" s="5"/>
      <c r="T41" s="5"/>
      <c r="U41" s="5"/>
      <c r="V41" s="5"/>
      <c r="W41" s="5"/>
      <c r="X41" s="5"/>
    </row>
    <row r="42" spans="6:24">
      <c r="F42" s="5"/>
      <c r="G42" s="22"/>
      <c r="H42" s="22"/>
      <c r="P42" s="5"/>
      <c r="Q42" s="5"/>
      <c r="R42" s="5"/>
      <c r="S42" s="5"/>
      <c r="T42" s="5"/>
      <c r="U42" s="5"/>
      <c r="V42" s="5"/>
      <c r="W42" s="5"/>
      <c r="X42" s="5"/>
    </row>
    <row r="43" spans="6:24">
      <c r="F43" s="5"/>
      <c r="G43" s="22"/>
      <c r="H43" s="22"/>
      <c r="P43" s="5"/>
      <c r="Q43" s="5"/>
      <c r="R43" s="5"/>
      <c r="S43" s="5"/>
      <c r="T43" s="5"/>
      <c r="U43" s="5"/>
      <c r="V43" s="5"/>
      <c r="W43" s="5"/>
      <c r="X43" s="5"/>
    </row>
    <row r="44" spans="6:24">
      <c r="F44" s="5"/>
      <c r="G44" s="22"/>
      <c r="H44" s="22"/>
      <c r="P44" s="5"/>
      <c r="Q44" s="5"/>
      <c r="R44" s="5"/>
      <c r="S44" s="5"/>
      <c r="T44" s="5"/>
      <c r="U44" s="5"/>
      <c r="V44" s="5"/>
      <c r="W44" s="5"/>
      <c r="X44" s="5"/>
    </row>
    <row r="45" spans="6:24">
      <c r="F45" s="5"/>
      <c r="G45" s="22"/>
      <c r="H45" s="22"/>
      <c r="P45" s="5"/>
      <c r="Q45" s="5"/>
      <c r="R45" s="5"/>
      <c r="S45" s="5"/>
      <c r="T45" s="5"/>
      <c r="U45" s="5"/>
      <c r="V45" s="5"/>
      <c r="W45" s="5"/>
      <c r="X45" s="5"/>
    </row>
    <row r="46" spans="6:24">
      <c r="F46" s="5"/>
      <c r="G46" s="22"/>
      <c r="H46" s="22"/>
      <c r="P46" s="5"/>
      <c r="Q46" s="5"/>
      <c r="R46" s="5"/>
      <c r="S46" s="5"/>
      <c r="T46" s="5"/>
      <c r="U46" s="5"/>
      <c r="V46" s="5"/>
      <c r="W46" s="5"/>
      <c r="X46" s="5"/>
    </row>
    <row r="47" spans="6:24">
      <c r="F47" s="5"/>
      <c r="G47" s="22"/>
      <c r="H47" s="22"/>
      <c r="P47" s="5"/>
      <c r="Q47" s="5"/>
      <c r="R47" s="5"/>
      <c r="S47" s="5"/>
      <c r="T47" s="5"/>
      <c r="U47" s="5"/>
      <c r="V47" s="5"/>
      <c r="W47" s="5"/>
      <c r="X47" s="5"/>
    </row>
    <row r="48" spans="6:24">
      <c r="F48" s="5"/>
      <c r="G48" s="22"/>
      <c r="H48" s="22"/>
      <c r="P48" s="5"/>
      <c r="Q48" s="5"/>
      <c r="R48" s="5"/>
      <c r="S48" s="5"/>
      <c r="T48" s="5"/>
      <c r="U48" s="5"/>
      <c r="V48" s="5"/>
      <c r="W48" s="5"/>
      <c r="X48" s="5"/>
    </row>
    <row r="49" spans="6:24">
      <c r="F49" s="5"/>
      <c r="G49" s="22"/>
      <c r="H49" s="22"/>
      <c r="P49" s="5"/>
      <c r="Q49" s="5"/>
      <c r="R49" s="5"/>
      <c r="S49" s="5"/>
      <c r="T49" s="5"/>
      <c r="U49" s="5"/>
      <c r="V49" s="5"/>
      <c r="W49" s="5"/>
      <c r="X49" s="5"/>
    </row>
    <row r="50" spans="6:24">
      <c r="F50" s="5"/>
      <c r="G50" s="22"/>
      <c r="H50" s="22"/>
      <c r="P50" s="5"/>
      <c r="Q50" s="5"/>
      <c r="R50" s="5"/>
      <c r="S50" s="5"/>
      <c r="T50" s="5"/>
      <c r="U50" s="5"/>
      <c r="V50" s="5"/>
      <c r="W50" s="5"/>
      <c r="X50" s="5"/>
    </row>
    <row r="51" spans="6:24">
      <c r="F51" s="5"/>
      <c r="G51" s="22"/>
      <c r="H51" s="22"/>
      <c r="P51" s="5"/>
      <c r="Q51" s="5"/>
      <c r="R51" s="5"/>
      <c r="S51" s="5"/>
      <c r="T51" s="5"/>
      <c r="U51" s="5"/>
      <c r="V51" s="5"/>
      <c r="W51" s="5"/>
      <c r="X51" s="5"/>
    </row>
    <row r="52" spans="6:24">
      <c r="F52" s="5"/>
      <c r="G52" s="22"/>
      <c r="H52" s="22"/>
      <c r="P52" s="5"/>
      <c r="Q52" s="5"/>
      <c r="R52" s="5"/>
      <c r="S52" s="5"/>
      <c r="T52" s="5"/>
      <c r="U52" s="5"/>
      <c r="V52" s="5"/>
      <c r="W52" s="5"/>
      <c r="X52" s="5"/>
    </row>
    <row r="53" spans="6:24">
      <c r="F53" s="5"/>
      <c r="G53" s="22"/>
      <c r="H53" s="22"/>
      <c r="P53" s="5"/>
      <c r="Q53" s="5"/>
      <c r="R53" s="5"/>
      <c r="S53" s="5"/>
      <c r="T53" s="5"/>
      <c r="U53" s="5"/>
      <c r="V53" s="5"/>
      <c r="W53" s="5"/>
      <c r="X53" s="5"/>
    </row>
    <row r="54" spans="6:24">
      <c r="F54" s="5"/>
      <c r="G54" s="22"/>
      <c r="H54" s="22"/>
      <c r="P54" s="5"/>
      <c r="Q54" s="5"/>
      <c r="R54" s="5"/>
      <c r="S54" s="5"/>
      <c r="T54" s="5"/>
      <c r="U54" s="5"/>
      <c r="V54" s="5"/>
      <c r="W54" s="5"/>
      <c r="X54" s="5"/>
    </row>
    <row r="55" spans="6:24">
      <c r="F55" s="5"/>
      <c r="G55" s="22"/>
      <c r="H55" s="22"/>
      <c r="P55" s="5"/>
      <c r="Q55" s="5"/>
      <c r="R55" s="5"/>
      <c r="S55" s="5"/>
      <c r="T55" s="5"/>
      <c r="U55" s="5"/>
      <c r="V55" s="5"/>
      <c r="W55" s="5"/>
      <c r="X55" s="5"/>
    </row>
    <row r="56" spans="6:24">
      <c r="F56" s="5"/>
      <c r="G56" s="22"/>
      <c r="H56" s="22"/>
      <c r="P56" s="5"/>
      <c r="Q56" s="5"/>
      <c r="R56" s="5"/>
      <c r="S56" s="5"/>
      <c r="T56" s="5"/>
      <c r="U56" s="5"/>
      <c r="V56" s="5"/>
      <c r="W56" s="5"/>
      <c r="X56" s="5"/>
    </row>
    <row r="57" spans="6:24">
      <c r="F57" s="5"/>
      <c r="G57" s="22"/>
      <c r="H57" s="22"/>
      <c r="P57" s="5"/>
      <c r="Q57" s="5"/>
      <c r="R57" s="5"/>
      <c r="S57" s="5"/>
      <c r="T57" s="5"/>
      <c r="U57" s="5"/>
      <c r="V57" s="5"/>
      <c r="W57" s="5"/>
      <c r="X57" s="5"/>
    </row>
    <row r="58" spans="6:24">
      <c r="F58" s="5"/>
      <c r="G58" s="22"/>
      <c r="H58" s="22"/>
      <c r="P58" s="5"/>
      <c r="Q58" s="5"/>
      <c r="R58" s="5"/>
      <c r="S58" s="5"/>
      <c r="T58" s="5"/>
      <c r="U58" s="5"/>
      <c r="V58" s="5"/>
      <c r="W58" s="5"/>
      <c r="X58" s="5"/>
    </row>
    <row r="59" spans="6:24">
      <c r="F59" s="5"/>
      <c r="G59" s="22"/>
      <c r="H59" s="22"/>
      <c r="P59" s="5"/>
      <c r="Q59" s="5"/>
      <c r="R59" s="5"/>
      <c r="S59" s="5"/>
      <c r="T59" s="5"/>
      <c r="U59" s="5"/>
      <c r="V59" s="5"/>
      <c r="W59" s="5"/>
      <c r="X59" s="5"/>
    </row>
    <row r="60" spans="6:24">
      <c r="F60" s="5"/>
      <c r="G60" s="22"/>
      <c r="H60" s="22"/>
      <c r="P60" s="5"/>
      <c r="Q60" s="5"/>
      <c r="R60" s="5"/>
      <c r="S60" s="5"/>
      <c r="T60" s="5"/>
      <c r="U60" s="5"/>
      <c r="V60" s="5"/>
      <c r="W60" s="5"/>
      <c r="X60" s="5"/>
    </row>
    <row r="61" spans="6:24">
      <c r="F61" s="5"/>
      <c r="G61" s="22"/>
      <c r="H61" s="22"/>
      <c r="P61" s="5"/>
      <c r="Q61" s="5"/>
      <c r="R61" s="5"/>
      <c r="S61" s="5"/>
      <c r="T61" s="5"/>
      <c r="U61" s="5"/>
      <c r="V61" s="5"/>
      <c r="W61" s="5"/>
      <c r="X61" s="5"/>
    </row>
    <row r="62" spans="6:24">
      <c r="F62" s="5"/>
      <c r="G62" s="22"/>
      <c r="H62" s="22"/>
      <c r="P62" s="5"/>
      <c r="Q62" s="5"/>
      <c r="R62" s="5"/>
      <c r="S62" s="5"/>
      <c r="T62" s="5"/>
      <c r="U62" s="5"/>
      <c r="V62" s="5"/>
      <c r="W62" s="5"/>
      <c r="X62" s="5"/>
    </row>
    <row r="63" spans="6:24">
      <c r="F63" s="5"/>
      <c r="G63" s="22"/>
      <c r="H63" s="22"/>
      <c r="P63" s="5"/>
      <c r="Q63" s="5"/>
      <c r="R63" s="5"/>
      <c r="S63" s="5"/>
      <c r="T63" s="5"/>
      <c r="U63" s="5"/>
      <c r="V63" s="5"/>
      <c r="W63" s="5"/>
      <c r="X63" s="5"/>
    </row>
    <row r="64" spans="6:24">
      <c r="F64" s="5"/>
      <c r="G64" s="22"/>
      <c r="H64" s="22"/>
      <c r="P64" s="5"/>
      <c r="Q64" s="5"/>
      <c r="R64" s="5"/>
      <c r="S64" s="5"/>
      <c r="T64" s="5"/>
      <c r="U64" s="5"/>
      <c r="V64" s="5"/>
      <c r="W64" s="5"/>
      <c r="X64" s="5"/>
    </row>
    <row r="65" spans="6:24">
      <c r="F65" s="5"/>
      <c r="G65" s="22"/>
      <c r="H65" s="22"/>
      <c r="P65" s="5"/>
      <c r="Q65" s="5"/>
      <c r="R65" s="5"/>
      <c r="S65" s="5"/>
      <c r="T65" s="5"/>
      <c r="U65" s="5"/>
      <c r="V65" s="5"/>
      <c r="W65" s="5"/>
      <c r="X65" s="5"/>
    </row>
    <row r="66" spans="6:24">
      <c r="F66" s="5"/>
      <c r="G66" s="22"/>
      <c r="H66" s="22"/>
      <c r="P66" s="5"/>
      <c r="Q66" s="5"/>
      <c r="R66" s="5"/>
      <c r="S66" s="5"/>
      <c r="T66" s="5"/>
      <c r="U66" s="5"/>
      <c r="V66" s="5"/>
      <c r="W66" s="5"/>
      <c r="X66" s="5"/>
    </row>
    <row r="67" spans="6:24">
      <c r="F67" s="5"/>
      <c r="G67" s="22"/>
      <c r="H67" s="22"/>
      <c r="P67" s="5"/>
      <c r="Q67" s="5"/>
      <c r="R67" s="5"/>
      <c r="S67" s="5"/>
      <c r="T67" s="5"/>
      <c r="U67" s="5"/>
      <c r="V67" s="5"/>
      <c r="W67" s="5"/>
      <c r="X67" s="5"/>
    </row>
    <row r="68" spans="6:24">
      <c r="F68" s="5"/>
      <c r="G68" s="22"/>
      <c r="H68" s="22"/>
      <c r="P68" s="5"/>
      <c r="Q68" s="5"/>
      <c r="R68" s="5"/>
      <c r="S68" s="5"/>
      <c r="T68" s="5"/>
      <c r="U68" s="5"/>
      <c r="V68" s="5"/>
      <c r="W68" s="5"/>
      <c r="X68" s="5"/>
    </row>
    <row r="69" spans="6:24">
      <c r="F69" s="5"/>
      <c r="G69" s="22"/>
      <c r="H69" s="22"/>
      <c r="P69" s="5"/>
      <c r="Q69" s="5"/>
      <c r="R69" s="5"/>
      <c r="S69" s="5"/>
      <c r="T69" s="5"/>
      <c r="U69" s="5"/>
      <c r="V69" s="5"/>
      <c r="W69" s="5"/>
      <c r="X69" s="5"/>
    </row>
    <row r="70" spans="6:24">
      <c r="F70" s="5"/>
      <c r="G70" s="22"/>
      <c r="H70" s="22"/>
      <c r="P70" s="5"/>
      <c r="Q70" s="5"/>
      <c r="R70" s="5"/>
      <c r="S70" s="5"/>
      <c r="T70" s="5"/>
      <c r="U70" s="5"/>
      <c r="V70" s="5"/>
      <c r="W70" s="5"/>
      <c r="X70" s="5"/>
    </row>
    <row r="71" spans="6:24">
      <c r="F71" s="5"/>
      <c r="G71" s="22"/>
      <c r="H71" s="22"/>
      <c r="P71" s="5"/>
      <c r="Q71" s="5"/>
      <c r="R71" s="5"/>
      <c r="S71" s="5"/>
      <c r="T71" s="5"/>
      <c r="U71" s="5"/>
      <c r="V71" s="5"/>
      <c r="W71" s="5"/>
      <c r="X71" s="5"/>
    </row>
    <row r="72" spans="6:24">
      <c r="F72" s="5"/>
      <c r="G72" s="22"/>
      <c r="H72" s="22"/>
      <c r="P72" s="5"/>
      <c r="Q72" s="5"/>
      <c r="R72" s="5"/>
      <c r="S72" s="5"/>
      <c r="T72" s="5"/>
      <c r="U72" s="5"/>
      <c r="V72" s="5"/>
      <c r="W72" s="5"/>
      <c r="X72" s="5"/>
    </row>
    <row r="73" spans="6:24">
      <c r="F73" s="5"/>
      <c r="G73" s="22"/>
      <c r="H73" s="22"/>
      <c r="P73" s="5"/>
      <c r="Q73" s="5"/>
      <c r="R73" s="5"/>
      <c r="S73" s="5"/>
      <c r="T73" s="5"/>
      <c r="U73" s="5"/>
      <c r="V73" s="5"/>
      <c r="W73" s="5"/>
      <c r="X73" s="5"/>
    </row>
    <row r="74" spans="6:24">
      <c r="F74" s="5"/>
      <c r="G74" s="22"/>
      <c r="H74" s="22"/>
      <c r="P74" s="5"/>
      <c r="Q74" s="5"/>
      <c r="R74" s="5"/>
      <c r="S74" s="5"/>
      <c r="T74" s="5"/>
      <c r="U74" s="5"/>
      <c r="V74" s="5"/>
      <c r="W74" s="5"/>
      <c r="X74" s="5"/>
    </row>
    <row r="75" spans="6:24">
      <c r="F75" s="5"/>
      <c r="G75" s="22"/>
      <c r="H75" s="22"/>
      <c r="P75" s="5"/>
      <c r="Q75" s="5"/>
      <c r="R75" s="5"/>
      <c r="S75" s="5"/>
      <c r="T75" s="5"/>
      <c r="U75" s="5"/>
      <c r="V75" s="5"/>
      <c r="W75" s="5"/>
      <c r="X75" s="5"/>
    </row>
    <row r="76" spans="6:24">
      <c r="F76" s="5"/>
      <c r="G76" s="22"/>
      <c r="H76" s="22"/>
      <c r="P76" s="5"/>
      <c r="Q76" s="5"/>
      <c r="R76" s="5"/>
      <c r="S76" s="5"/>
      <c r="T76" s="5"/>
      <c r="U76" s="5"/>
      <c r="V76" s="5"/>
      <c r="W76" s="5"/>
      <c r="X76" s="5"/>
    </row>
    <row r="77" spans="6:24">
      <c r="F77" s="5"/>
      <c r="G77" s="22"/>
      <c r="H77" s="22"/>
      <c r="P77" s="5"/>
      <c r="Q77" s="5"/>
      <c r="R77" s="5"/>
      <c r="S77" s="5"/>
      <c r="T77" s="5"/>
      <c r="U77" s="5"/>
      <c r="V77" s="5"/>
      <c r="W77" s="5"/>
      <c r="X77" s="5"/>
    </row>
    <row r="78" spans="6:24">
      <c r="F78" s="5"/>
      <c r="G78" s="22"/>
      <c r="H78" s="22"/>
      <c r="P78" s="5"/>
      <c r="Q78" s="5"/>
      <c r="R78" s="5"/>
      <c r="S78" s="5"/>
      <c r="T78" s="5"/>
      <c r="U78" s="5"/>
      <c r="V78" s="5"/>
      <c r="W78" s="5"/>
      <c r="X78" s="5"/>
    </row>
    <row r="79" spans="6:24">
      <c r="F79" s="5"/>
      <c r="G79" s="22"/>
      <c r="H79" s="22"/>
      <c r="P79" s="5"/>
      <c r="Q79" s="5"/>
      <c r="R79" s="5"/>
      <c r="S79" s="5"/>
      <c r="T79" s="5"/>
      <c r="U79" s="5"/>
      <c r="V79" s="5"/>
      <c r="W79" s="5"/>
      <c r="X79" s="5"/>
    </row>
    <row r="80" spans="6:24">
      <c r="F80" s="5"/>
      <c r="G80" s="22"/>
      <c r="H80" s="22"/>
      <c r="P80" s="5"/>
      <c r="Q80" s="5"/>
      <c r="R80" s="5"/>
      <c r="S80" s="5"/>
      <c r="T80" s="5"/>
      <c r="U80" s="5"/>
      <c r="V80" s="5"/>
      <c r="W80" s="5"/>
      <c r="X80" s="5"/>
    </row>
    <row r="81" spans="6:31">
      <c r="F81" s="5"/>
      <c r="G81" s="22"/>
      <c r="H81" s="22"/>
      <c r="P81" s="5"/>
      <c r="Q81" s="5"/>
      <c r="R81" s="5"/>
      <c r="S81" s="5"/>
      <c r="T81" s="5"/>
      <c r="U81" s="5"/>
      <c r="V81" s="5"/>
      <c r="W81" s="5"/>
      <c r="X81" s="5"/>
    </row>
    <row r="82" spans="6:31">
      <c r="F82" s="5"/>
      <c r="G82" s="22"/>
      <c r="H82" s="22"/>
      <c r="P82" s="5"/>
      <c r="Q82" s="5"/>
      <c r="R82" s="5"/>
      <c r="S82" s="5"/>
      <c r="T82" s="5"/>
      <c r="U82" s="5"/>
      <c r="V82" s="5"/>
      <c r="W82" s="5"/>
      <c r="X82" s="5"/>
    </row>
    <row r="83" spans="6:31">
      <c r="F83" s="5"/>
      <c r="G83" s="22"/>
      <c r="H83" s="22"/>
      <c r="P83" s="5"/>
      <c r="Q83" s="5"/>
      <c r="R83" s="5"/>
      <c r="S83" s="5"/>
      <c r="T83" s="5"/>
      <c r="U83" s="5"/>
      <c r="V83" s="5"/>
      <c r="W83" s="5"/>
      <c r="X83" s="5"/>
    </row>
    <row r="84" spans="6:31">
      <c r="F84" s="5"/>
      <c r="G84" s="22"/>
      <c r="H84" s="22"/>
      <c r="P84" s="5"/>
      <c r="Q84" s="5"/>
      <c r="R84" s="5"/>
      <c r="S84" s="5"/>
      <c r="T84" s="5"/>
      <c r="U84" s="5"/>
      <c r="V84" s="5"/>
      <c r="W84" s="5"/>
      <c r="X84" s="5"/>
    </row>
    <row r="85" spans="6:31">
      <c r="F85" s="5"/>
      <c r="G85" s="22"/>
      <c r="H85" s="22"/>
      <c r="P85" s="5"/>
      <c r="Q85" s="5"/>
      <c r="R85" s="5"/>
      <c r="S85" s="5"/>
      <c r="T85" s="5"/>
      <c r="U85" s="5"/>
      <c r="V85" s="5"/>
      <c r="W85" s="5"/>
      <c r="X85" s="5"/>
    </row>
    <row r="86" spans="6:31">
      <c r="F86" s="5"/>
      <c r="G86" s="22"/>
      <c r="H86" s="22"/>
      <c r="P86" s="5"/>
      <c r="Q86" s="5"/>
      <c r="R86" s="5"/>
      <c r="S86" s="5"/>
      <c r="T86" s="5"/>
      <c r="U86" s="5"/>
      <c r="V86" s="5"/>
      <c r="W86" s="5"/>
      <c r="X86" s="5"/>
    </row>
    <row r="87" spans="6:31">
      <c r="F87" s="5"/>
      <c r="G87" s="22"/>
      <c r="H87" s="22"/>
      <c r="P87" s="5"/>
      <c r="Q87" s="5"/>
      <c r="R87" s="5"/>
      <c r="S87" s="5"/>
      <c r="T87" s="5"/>
      <c r="U87" s="5"/>
      <c r="V87" s="5"/>
      <c r="W87" s="5"/>
      <c r="X87" s="5"/>
    </row>
    <row r="88" spans="6:31">
      <c r="F88" s="5"/>
      <c r="G88" s="22"/>
      <c r="H88" s="22"/>
      <c r="P88" s="5"/>
      <c r="Q88" s="5"/>
      <c r="R88" s="5"/>
      <c r="S88" s="5"/>
      <c r="T88" s="5"/>
      <c r="U88" s="5"/>
      <c r="V88" s="5"/>
      <c r="W88" s="5"/>
      <c r="X88" s="5"/>
    </row>
    <row r="89" spans="6:31">
      <c r="F89" s="5"/>
      <c r="G89" s="22"/>
      <c r="H89" s="22"/>
      <c r="P89" s="5"/>
      <c r="Q89" s="5"/>
      <c r="R89" s="5"/>
      <c r="S89" s="5"/>
      <c r="T89" s="5"/>
      <c r="U89" s="5"/>
      <c r="V89" s="5"/>
      <c r="W89" s="5"/>
      <c r="X89" s="5"/>
    </row>
    <row r="90" spans="6:31">
      <c r="F90" s="5"/>
      <c r="G90" s="22"/>
      <c r="H90" s="22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6:31">
      <c r="F91" s="5"/>
      <c r="G91" s="22"/>
      <c r="H91" s="22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6:31">
      <c r="F92" s="5"/>
      <c r="G92" s="22"/>
      <c r="H92" s="22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6:31">
      <c r="F93" s="5"/>
      <c r="G93" s="22"/>
      <c r="H93" s="22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6:31">
      <c r="F94" s="5"/>
      <c r="G94" s="22"/>
      <c r="H94" s="22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6:31">
      <c r="F95" s="5"/>
      <c r="G95" s="22"/>
      <c r="H95" s="22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6:31">
      <c r="F96" s="5"/>
      <c r="G96" s="22"/>
      <c r="H96" s="22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2">
      <c r="F97" s="5"/>
      <c r="G97" s="22"/>
      <c r="H97" s="22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2">
      <c r="F98" s="5"/>
      <c r="G98" s="22"/>
      <c r="H98" s="22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2">
      <c r="F99" s="5"/>
      <c r="G99" s="22"/>
      <c r="H99" s="22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2">
      <c r="F100" s="5"/>
      <c r="G100" s="22"/>
      <c r="H100" s="22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>
      <c r="F101" s="5"/>
      <c r="G101" s="22"/>
      <c r="H101" s="22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>
      <c r="F102" s="5"/>
      <c r="G102" s="22"/>
      <c r="H102" s="22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>
      <c r="F103" s="5"/>
      <c r="G103" s="22"/>
      <c r="H103" s="22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>
      <c r="F104" s="5"/>
      <c r="G104" s="22"/>
      <c r="H104" s="22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>
      <c r="F105" s="5"/>
      <c r="G105" s="22"/>
      <c r="H105" s="22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>
      <c r="F106" s="5"/>
      <c r="G106" s="22"/>
      <c r="H106" s="22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>
      <c r="F107" s="5"/>
      <c r="G107" s="22"/>
      <c r="H107" s="22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>
      <c r="F108" s="5"/>
      <c r="G108" s="22"/>
      <c r="H108" s="22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>
      <c r="F109" s="5"/>
      <c r="G109" s="22"/>
      <c r="H109" s="22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3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3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3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3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3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3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3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3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3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</sheetData>
  <mergeCells count="2">
    <mergeCell ref="A2:O2"/>
    <mergeCell ref="A1:O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showGridLines="0" zoomScaleNormal="100" workbookViewId="0">
      <selection activeCell="C4" sqref="C4:F4"/>
    </sheetView>
  </sheetViews>
  <sheetFormatPr defaultRowHeight="13.8"/>
  <cols>
    <col min="1" max="1" width="3" customWidth="1"/>
    <col min="2" max="2" width="22" customWidth="1"/>
    <col min="3" max="3" width="13.59765625" bestFit="1" customWidth="1"/>
    <col min="4" max="4" width="22" customWidth="1"/>
    <col min="5" max="5" width="3" customWidth="1"/>
    <col min="6" max="6" width="20" customWidth="1"/>
    <col min="7" max="7" width="30" customWidth="1"/>
    <col min="8" max="8" width="24" customWidth="1"/>
  </cols>
  <sheetData>
    <row r="1" spans="1:26" ht="27.15" customHeight="1">
      <c r="A1" s="29" t="s">
        <v>7</v>
      </c>
      <c r="B1" s="29"/>
      <c r="C1" s="29"/>
      <c r="D1" s="29"/>
      <c r="E1" s="29"/>
      <c r="F1" s="29"/>
      <c r="G1" s="29"/>
      <c r="H1" s="2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35" customHeight="1">
      <c r="A2" s="30" t="s">
        <v>8</v>
      </c>
      <c r="B2" s="30"/>
      <c r="C2" s="30"/>
      <c r="D2" s="30"/>
      <c r="E2" s="30"/>
      <c r="F2" s="30"/>
      <c r="G2" s="30"/>
      <c r="H2" s="3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7" t="s">
        <v>9</v>
      </c>
      <c r="C4" s="61"/>
      <c r="D4" s="62"/>
      <c r="E4" s="62"/>
      <c r="F4" s="6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customHeight="1">
      <c r="A6" s="5"/>
      <c r="B6" s="1" t="s">
        <v>10</v>
      </c>
      <c r="C6" s="1" t="s">
        <v>11</v>
      </c>
      <c r="D6" s="1" t="s">
        <v>12</v>
      </c>
      <c r="E6" s="5"/>
      <c r="F6" s="1" t="s">
        <v>13</v>
      </c>
      <c r="G6" s="1" t="s">
        <v>11</v>
      </c>
      <c r="H6" s="1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2" t="s">
        <v>14</v>
      </c>
      <c r="C7">
        <f>IFERROR(_xlfn.XLOOKUP($C$4, tblXML[ChaveAcesso], tblXML[NUM_DOC_XML]), "")</f>
        <v>0</v>
      </c>
      <c r="D7" s="2" t="s">
        <v>15</v>
      </c>
      <c r="E7" s="5"/>
      <c r="F7" s="2" t="s">
        <v>16</v>
      </c>
      <c r="G7" s="3">
        <f>IFERROR(_xlfn.XLOOKUP($C$4, Comparacao_Final[ChaveAcesso_Consolidada], Comparacao_Final[DIFERENCA_TOTAL]), 0)</f>
        <v>0</v>
      </c>
      <c r="H7" s="2" t="s">
        <v>17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2" t="s">
        <v>18</v>
      </c>
      <c r="C8" s="2">
        <f>IFERROR(_xlfn.XLOOKUP($C$4, tblXML[ChaveAcesso], tblXML[CNPJ_EMIT_XML]), "")</f>
        <v>0</v>
      </c>
      <c r="D8" s="2" t="s">
        <v>15</v>
      </c>
      <c r="E8" s="5"/>
      <c r="F8" s="2" t="s">
        <v>19</v>
      </c>
      <c r="G8" s="2">
        <f>IFERROR(_xlfn.XLOOKUP($C$4, Comparacao_Final[ChaveAcesso_Consolidada], Comparacao_Final[STATUS_AUDITORIA]), "NÃO ENCONTRADO")</f>
        <v>0</v>
      </c>
      <c r="H8" s="2" t="s">
        <v>17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2" t="s">
        <v>20</v>
      </c>
      <c r="C9" s="2">
        <f>IFERROR(_xlfn.XLOOKUP($C$4, tblXML[ChaveAcesso], tblXML[CNPJ_EMIT_XML]), "")</f>
        <v>0</v>
      </c>
      <c r="D9" s="2" t="s">
        <v>15</v>
      </c>
      <c r="E9" s="5"/>
      <c r="F9" s="2" t="s">
        <v>21</v>
      </c>
      <c r="G9" s="2">
        <f>IFERROR(_xlfn.XLOOKUP($C$4, Comparacao_Final[ChaveAcesso_Consolidada], Comparacao_Final[MOTIVO_REVISAO]), "NÃO ENCONTRADO")</f>
        <v>0</v>
      </c>
      <c r="H9" s="2" t="s">
        <v>17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2" t="s">
        <v>22</v>
      </c>
      <c r="C10" s="3">
        <f>IFERROR(_xlfn.XLOOKUP($C$4, tblXML[ChaveAcesso], tblXML[VALOR_TOTAL_XML]), 0)</f>
        <v>0</v>
      </c>
      <c r="D10" s="2" t="s">
        <v>15</v>
      </c>
      <c r="E10" s="5"/>
      <c r="F10" s="2"/>
      <c r="G10" s="2"/>
      <c r="H10" s="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2" t="s">
        <v>23</v>
      </c>
      <c r="C11" s="3">
        <f>IFERROR(_xlfn.XLOOKUP($C$4, tblSPED[ChaveAcesso], tblSPED[VALOR_TOTAL_SPED]), 0)</f>
        <v>0</v>
      </c>
      <c r="D11" s="2" t="s">
        <v>24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3">
    <mergeCell ref="A1:H1"/>
    <mergeCell ref="A2:H2"/>
    <mergeCell ref="C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showGridLines="0" workbookViewId="0">
      <selection activeCell="I6" sqref="I6"/>
    </sheetView>
  </sheetViews>
  <sheetFormatPr defaultRowHeight="13.8"/>
  <cols>
    <col min="1" max="1" width="3" customWidth="1"/>
    <col min="2" max="7" width="22" customWidth="1"/>
    <col min="8" max="8" width="3" customWidth="1"/>
  </cols>
  <sheetData>
    <row r="1" spans="1:26" ht="27.15" customHeight="1">
      <c r="A1" s="29" t="s">
        <v>42</v>
      </c>
      <c r="B1" s="29"/>
      <c r="C1" s="29"/>
      <c r="D1" s="29"/>
      <c r="E1" s="29"/>
      <c r="F1" s="29"/>
      <c r="G1" s="29"/>
      <c r="H1" s="2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35" customHeight="1">
      <c r="A2" s="30" t="s">
        <v>43</v>
      </c>
      <c r="B2" s="30"/>
      <c r="C2" s="30"/>
      <c r="D2" s="30"/>
      <c r="E2" s="30"/>
      <c r="F2" s="30"/>
      <c r="G2" s="30"/>
      <c r="H2" s="3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7.55" customHeight="1">
      <c r="A4" s="5"/>
      <c r="B4" s="64" t="s">
        <v>44</v>
      </c>
      <c r="C4" s="64"/>
      <c r="D4" s="64"/>
      <c r="E4" s="64"/>
      <c r="F4" s="64"/>
      <c r="G4" s="6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.45" customHeight="1">
      <c r="A5" s="5"/>
      <c r="B5" s="65" t="s">
        <v>45</v>
      </c>
      <c r="C5" s="65"/>
      <c r="D5" s="65"/>
      <c r="E5" s="65"/>
      <c r="F5" s="65"/>
      <c r="G5" s="6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.45" customHeight="1">
      <c r="A6" s="5"/>
      <c r="B6" s="65"/>
      <c r="C6" s="65"/>
      <c r="D6" s="65"/>
      <c r="E6" s="65"/>
      <c r="F6" s="65"/>
      <c r="G6" s="6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.55" customHeight="1">
      <c r="A8" s="5"/>
      <c r="B8" s="64" t="s">
        <v>46</v>
      </c>
      <c r="C8" s="64"/>
      <c r="D8" s="64"/>
      <c r="E8" s="64"/>
      <c r="F8" s="64"/>
      <c r="G8" s="6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.45" customHeight="1">
      <c r="A9" s="5"/>
      <c r="B9" s="65" t="s">
        <v>47</v>
      </c>
      <c r="C9" s="65"/>
      <c r="D9" s="65"/>
      <c r="E9" s="65"/>
      <c r="F9" s="65"/>
      <c r="G9" s="6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.45" customHeight="1">
      <c r="A10" s="5"/>
      <c r="B10" s="65"/>
      <c r="C10" s="65"/>
      <c r="D10" s="65"/>
      <c r="E10" s="65"/>
      <c r="F10" s="65"/>
      <c r="G10" s="6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7.55" customHeight="1">
      <c r="A12" s="5"/>
      <c r="B12" s="64" t="s">
        <v>48</v>
      </c>
      <c r="C12" s="64"/>
      <c r="D12" s="64"/>
      <c r="E12" s="64"/>
      <c r="F12" s="64"/>
      <c r="G12" s="6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.45" customHeight="1">
      <c r="A13" s="5"/>
      <c r="B13" s="65" t="s">
        <v>49</v>
      </c>
      <c r="C13" s="65"/>
      <c r="D13" s="65"/>
      <c r="E13" s="65"/>
      <c r="F13" s="65"/>
      <c r="G13" s="6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.45" customHeight="1">
      <c r="A14" s="5"/>
      <c r="B14" s="65"/>
      <c r="C14" s="65"/>
      <c r="D14" s="65"/>
      <c r="E14" s="65"/>
      <c r="F14" s="65"/>
      <c r="G14" s="6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.55" customHeight="1">
      <c r="A16" s="5"/>
      <c r="B16" s="64" t="s">
        <v>50</v>
      </c>
      <c r="C16" s="64"/>
      <c r="D16" s="64"/>
      <c r="E16" s="64"/>
      <c r="F16" s="64"/>
      <c r="G16" s="6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0.45" customHeight="1">
      <c r="A17" s="5"/>
      <c r="B17" s="65" t="s">
        <v>51</v>
      </c>
      <c r="C17" s="65"/>
      <c r="D17" s="65"/>
      <c r="E17" s="65"/>
      <c r="F17" s="65"/>
      <c r="G17" s="6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.45" customHeight="1">
      <c r="A18" s="5"/>
      <c r="B18" s="65"/>
      <c r="C18" s="65"/>
      <c r="D18" s="65"/>
      <c r="E18" s="65"/>
      <c r="F18" s="65"/>
      <c r="G18" s="6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7.55" customHeight="1">
      <c r="A20" s="5"/>
      <c r="B20" s="64" t="s">
        <v>52</v>
      </c>
      <c r="C20" s="64"/>
      <c r="D20" s="64"/>
      <c r="E20" s="64"/>
      <c r="F20" s="64"/>
      <c r="G20" s="6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0.45" customHeight="1">
      <c r="A21" s="5"/>
      <c r="B21" s="65" t="s">
        <v>53</v>
      </c>
      <c r="C21" s="65"/>
      <c r="D21" s="65"/>
      <c r="E21" s="65"/>
      <c r="F21" s="65"/>
      <c r="G21" s="6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6.6" customHeight="1">
      <c r="A22" s="5"/>
      <c r="B22" s="65"/>
      <c r="C22" s="65"/>
      <c r="D22" s="65"/>
      <c r="E22" s="65"/>
      <c r="F22" s="65"/>
      <c r="G22" s="6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7.55" customHeight="1">
      <c r="A24" s="5"/>
      <c r="B24" s="64" t="s">
        <v>54</v>
      </c>
      <c r="C24" s="64"/>
      <c r="D24" s="64"/>
      <c r="E24" s="64"/>
      <c r="F24" s="64"/>
      <c r="G24" s="6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0.45" customHeight="1">
      <c r="A25" s="5"/>
      <c r="B25" s="65" t="s">
        <v>55</v>
      </c>
      <c r="C25" s="65"/>
      <c r="D25" s="65"/>
      <c r="E25" s="65"/>
      <c r="F25" s="65"/>
      <c r="G25" s="6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0.45" customHeight="1">
      <c r="A26" s="5"/>
      <c r="B26" s="65"/>
      <c r="C26" s="65"/>
      <c r="D26" s="65"/>
      <c r="E26" s="65"/>
      <c r="F26" s="65"/>
      <c r="G26" s="6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7.55" customHeight="1">
      <c r="A28" s="5"/>
      <c r="B28" s="64" t="s">
        <v>56</v>
      </c>
      <c r="C28" s="64"/>
      <c r="D28" s="64"/>
      <c r="E28" s="64"/>
      <c r="F28" s="64"/>
      <c r="G28" s="6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0.45" customHeight="1">
      <c r="A29" s="5"/>
      <c r="B29" s="65" t="s">
        <v>57</v>
      </c>
      <c r="C29" s="65"/>
      <c r="D29" s="65"/>
      <c r="E29" s="65"/>
      <c r="F29" s="65"/>
      <c r="G29" s="6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0.45" customHeight="1">
      <c r="A30" s="5"/>
      <c r="B30" s="65"/>
      <c r="C30" s="65"/>
      <c r="D30" s="65"/>
      <c r="E30" s="65"/>
      <c r="F30" s="65"/>
      <c r="G30" s="6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66" t="s">
        <v>68</v>
      </c>
      <c r="C33" s="66"/>
      <c r="D33" s="66"/>
      <c r="E33" s="66"/>
      <c r="F33" s="66"/>
      <c r="G33" s="6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65" t="s">
        <v>69</v>
      </c>
      <c r="C34" s="65"/>
      <c r="D34" s="65"/>
      <c r="E34" s="65"/>
      <c r="F34" s="65"/>
      <c r="G34" s="6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01.4" customHeight="1">
      <c r="A35" s="5"/>
      <c r="B35" s="65"/>
      <c r="C35" s="65"/>
      <c r="D35" s="65"/>
      <c r="E35" s="65"/>
      <c r="F35" s="65"/>
      <c r="G35" s="6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18">
    <mergeCell ref="B24:G24"/>
    <mergeCell ref="B25:G26"/>
    <mergeCell ref="B28:G28"/>
    <mergeCell ref="B33:G33"/>
    <mergeCell ref="B34:G35"/>
    <mergeCell ref="B29:G30"/>
    <mergeCell ref="A1:H1"/>
    <mergeCell ref="A2:H2"/>
    <mergeCell ref="B4:G4"/>
    <mergeCell ref="B5:G6"/>
    <mergeCell ref="B8:G8"/>
    <mergeCell ref="B20:G20"/>
    <mergeCell ref="B21:G22"/>
    <mergeCell ref="B9:G10"/>
    <mergeCell ref="B12:G12"/>
    <mergeCell ref="B13:G14"/>
    <mergeCell ref="B16:G16"/>
    <mergeCell ref="B17:G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C9D24-8C6B-4930-8AE8-8ED0C56C9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PAINEL</vt:lpstr>
      <vt:lpstr>CONFIGURACAO</vt:lpstr>
      <vt:lpstr>REVISÃO</vt:lpstr>
      <vt:lpstr>COMPARAÇÃO</vt:lpstr>
      <vt:lpstr>XML</vt:lpstr>
      <vt:lpstr>SPED</vt:lpstr>
      <vt:lpstr>DOCUMENTO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 Torres Freitas</dc:creator>
  <cp:lastModifiedBy>João Gabriel Torres Freitas</cp:lastModifiedBy>
  <dcterms:created xsi:type="dcterms:W3CDTF">2026-09-25T14:28:48Z</dcterms:created>
  <dcterms:modified xsi:type="dcterms:W3CDTF">2026-10-01T16:01:44Z</dcterms:modified>
</cp:coreProperties>
</file>